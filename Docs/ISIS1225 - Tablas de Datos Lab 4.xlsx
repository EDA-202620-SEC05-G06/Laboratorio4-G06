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heets/sheet2.xml" ContentType="application/vnd.openxmlformats-officedocument.spreadsheetml.chartsheet+xml"/>
  <Override PartName="/xl/drawings/drawing2.xml" ContentType="application/vnd.openxmlformats-officedocument.drawing+xml"/>
  <Override PartName="/xl/chartsheets/sheet3.xml" ContentType="application/vnd.openxmlformats-officedocument.spreadsheetml.chartsheet+xml"/>
  <Override PartName="/xl/drawings/drawing3.xml" ContentType="application/vnd.openxmlformats-officedocument.drawing+xml"/>
  <Override PartName="/xl/chartsheets/sheet4.xml" ContentType="application/vnd.openxmlformats-officedocument.spreadsheetml.chartsheet+xml"/>
  <Override PartName="/xl/drawings/drawing4.xml" ContentType="application/vnd.openxmlformats-officedocument.drawing+xml"/>
  <Override PartName="/xl/chartsheets/sheet5.xml" ContentType="application/vnd.openxmlformats-officedocument.spreadsheetml.chartsheet+xml"/>
  <Override PartName="/xl/drawings/drawing5.xml" ContentType="application/vnd.openxmlformats-officedocument.drawing+xml"/>
  <Override PartName="/xl/chartsheets/sheet6.xml" ContentType="application/vnd.openxmlformats-officedocument.spreadsheetml.chart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01-Data Lab 4" sheetId="1" state="visible" r:id="rId1"/>
    <sheet xmlns:r="http://schemas.openxmlformats.org/officeDocument/2006/relationships" name="02-Enqueue" sheetId="2" state="visible" r:id="rId2"/>
    <sheet xmlns:r="http://schemas.openxmlformats.org/officeDocument/2006/relationships" name="03-Dequeue" sheetId="3" state="visible" r:id="rId3"/>
    <sheet xmlns:r="http://schemas.openxmlformats.org/officeDocument/2006/relationships" name="04-Peek" sheetId="4" state="visible" r:id="rId4"/>
    <sheet xmlns:r="http://schemas.openxmlformats.org/officeDocument/2006/relationships" name="05-Push" sheetId="5" state="visible" r:id="rId5"/>
    <sheet xmlns:r="http://schemas.openxmlformats.org/officeDocument/2006/relationships" name="06-Pop" sheetId="6" state="visible" r:id="rId6"/>
    <sheet xmlns:r="http://schemas.openxmlformats.org/officeDocument/2006/relationships" name="07-Top" sheetId="7" state="visible" r:id="rId7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Dax-Regular"/>
      <color theme="1"/>
      <sz val="11"/>
    </font>
    <font>
      <name val="Dax-Regular"/>
      <b val="1"/>
      <color rgb="FF000000"/>
      <sz val="11"/>
    </font>
    <font>
      <name val="Dax-Regular"/>
      <b val="1"/>
      <color theme="1"/>
      <sz val="11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F69E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center" vertical="center" wrapText="1"/>
    </xf>
    <xf numFmtId="2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</cellXfs>
  <cellStyles count="1">
    <cellStyle name="Normal" xfId="0" builtinId="0"/>
  </cellStyles>
  <dxfs count="20">
    <dxf>
      <font>
        <name val="Dax-Regular"/>
        <b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 wrapText="1"/>
    </dxf>
    <dxf>
      <font>
        <name val="Dax-Regular"/>
        <b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 wrapText="1"/>
    </dxf>
    <dxf>
      <font>
        <name val="Dax-Regular"/>
        <b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 wrapText="1"/>
    </dxf>
    <dxf>
      <font>
        <name val="Dax-Regular"/>
        <b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 wrapText="1"/>
    </dxf>
    <dxf>
      <font>
        <name val="Dax-Regular"/>
        <b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 wrapText="1"/>
    </dxf>
    <dxf>
      <font>
        <name val="Dax-Regular"/>
        <b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 wrapText="1"/>
    </dxf>
    <dxf>
      <font>
        <name val="Dax-Regular"/>
        <b val="1"/>
        <strike val="0"/>
        <outline val="0"/>
        <shadow val="0"/>
        <condense val="0"/>
        <color rgb="FF000000"/>
        <extend val="0"/>
        <sz val="11"/>
        <vertAlign val="baseline"/>
      </font>
      <numFmt numFmtId="2" formatCode="0.00"/>
      <fill>
        <patternFill>
          <fgColor indexed="64"/>
          <bgColor auto="1"/>
        </patternFill>
      </fill>
      <alignment horizontal="center" vertical="center" wrapText="1"/>
    </dxf>
    <dxf>
      <font>
        <name val="Dax-Regular"/>
        <b val="1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 wrapText="1"/>
    </dxf>
    <dxf>
      <font>
        <name val="Dax-Regular"/>
        <b val="1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 wrapText="1"/>
    </dxf>
    <dxf>
      <font>
        <name val="Dax-Regular"/>
        <b val="1"/>
        <strike val="0"/>
        <outline val="0"/>
        <shadow val="0"/>
        <condense val="0"/>
        <color rgb="FF000000"/>
        <extend val="0"/>
        <sz val="11"/>
        <vertAlign val="baseline"/>
      </font>
      <numFmt numFmtId="2" formatCode="0.00"/>
      <fill>
        <patternFill>
          <fgColor indexed="64"/>
          <bgColor auto="1"/>
        </patternFill>
      </fill>
      <alignment horizontal="center" vertical="center" wrapText="1"/>
    </dxf>
    <dxf>
      <font>
        <name val="Dax-Regular"/>
        <b val="1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 wrapText="1"/>
    </dxf>
    <dxf>
      <font>
        <name val="Dax-Regular"/>
        <b val="1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 wrapText="1"/>
    </dxf>
    <dxf>
      <font>
        <name val="Dax-Regular"/>
        <strike val="0"/>
        <outline val="0"/>
        <shadow val="0"/>
        <condense val="0"/>
        <color theme="1"/>
        <extend val="0"/>
        <sz val="11"/>
        <vertAlign val="baseline"/>
      </font>
      <numFmt numFmtId="2" formatCode="0.00"/>
      <fill>
        <patternFill>
          <fgColor indexed="64"/>
          <bgColor indexed="65"/>
        </patternFill>
      </fill>
      <alignment horizontal="center" vertical="center"/>
    </dxf>
    <dxf>
      <font>
        <name val="Dax-Regular"/>
        <strike val="0"/>
        <outline val="0"/>
        <shadow val="0"/>
        <condense val="0"/>
        <color theme="1"/>
        <extend val="0"/>
        <sz val="11"/>
        <vertAlign val="baseline"/>
      </font>
      <numFmt numFmtId="14" formatCode="0.00%"/>
      <fill>
        <patternFill>
          <fgColor indexed="64"/>
          <bgColor indexed="65"/>
        </patternFill>
      </fill>
      <alignment horizontal="center" vertical="center" wrapText="1"/>
    </dxf>
    <dxf>
      <font>
        <name val="Dax-Regular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  <alignment horizontal="justify" vertical="center" wrapText="1"/>
    </dxf>
    <dxf>
      <font>
        <name val="Dax-Regular"/>
        <b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 wrapText="1"/>
    </dxf>
    <dxf>
      <font>
        <name val="Dax-Regular"/>
        <strike val="0"/>
        <outline val="0"/>
        <shadow val="0"/>
        <condense val="0"/>
        <color theme="1"/>
        <extend val="0"/>
        <sz val="11"/>
        <vertAlign val="baseline"/>
      </font>
      <numFmt numFmtId="2" formatCode="0.00"/>
      <fill>
        <patternFill>
          <fgColor indexed="64"/>
          <bgColor indexed="65"/>
        </patternFill>
      </fill>
      <alignment horizontal="center" vertical="center"/>
    </dxf>
    <dxf>
      <font>
        <name val="Dax-Regular"/>
        <strike val="0"/>
        <outline val="0"/>
        <shadow val="0"/>
        <condense val="0"/>
        <color theme="1"/>
        <extend val="0"/>
        <sz val="11"/>
        <vertAlign val="baseline"/>
      </font>
      <numFmt numFmtId="14" formatCode="0.00%"/>
      <fill>
        <patternFill>
          <fgColor indexed="64"/>
          <bgColor indexed="65"/>
        </patternFill>
      </fill>
      <alignment horizontal="center" vertical="center" wrapText="1"/>
    </dxf>
    <dxf>
      <font>
        <name val="Dax-Regular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 wrapText="1"/>
    </dxf>
    <dxf>
      <font>
        <name val="Dax-Regular"/>
        <b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 wrapText="1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chartsheet" Target="/xl/chartsheets/sheet1.xml" Id="rId2"/><Relationship Type="http://schemas.openxmlformats.org/officeDocument/2006/relationships/chartsheet" Target="/xl/chartsheets/sheet2.xml" Id="rId3"/><Relationship Type="http://schemas.openxmlformats.org/officeDocument/2006/relationships/chartsheet" Target="/xl/chartsheets/sheet3.xml" Id="rId4"/><Relationship Type="http://schemas.openxmlformats.org/officeDocument/2006/relationships/chartsheet" Target="/xl/chartsheets/sheet4.xml" Id="rId5"/><Relationship Type="http://schemas.openxmlformats.org/officeDocument/2006/relationships/chartsheet" Target="/xl/chartsheets/sheet5.xml" Id="rId6"/><Relationship Type="http://schemas.openxmlformats.org/officeDocument/2006/relationships/chartsheet" Target="/xl/chartsheets/sheet6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 xml:space="preserve"> Queue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strRef>
              <f>'01-Data Lab 4'!$C$2</f>
              <strCache>
                <ptCount val="1"/>
                <pt idx="0">
                  <v xml:space="preserve">enqueue (Array List) 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-0.1363811854896437"/>
                  <y val="-0.00329452000318142"/>
                </manualLayout>
              </layout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'01-Data Lab 4'!$A$3:$A$11</f>
              <numCache>
                <formatCode>0.00%</formatCode>
                <ptCount val="9"/>
                <pt idx="0">
                  <v>0.005</v>
                </pt>
                <pt idx="1">
                  <v>0.05</v>
                </pt>
                <pt idx="2">
                  <v>0.1</v>
                </pt>
                <pt idx="3">
                  <v>0.2</v>
                </pt>
                <pt idx="4">
                  <v>0.3</v>
                </pt>
                <pt idx="5">
                  <v>0.5</v>
                </pt>
                <pt idx="6">
                  <v>0.8</v>
                </pt>
                <pt idx="7">
                  <v>1</v>
                </pt>
              </numCache>
            </numRef>
          </xVal>
          <yVal>
            <numRef>
              <f>'01-Data Lab 4'!$C$3:$C$11</f>
              <numCache>
                <formatCode>General</formatCode>
                <ptCount val="9"/>
              </numCache>
            </numRef>
          </yVal>
          <smooth val="1"/>
        </ser>
        <ser>
          <idx val="1"/>
          <order val="1"/>
          <tx>
            <strRef>
              <f>'01-Data Lab 4'!$C$13</f>
              <strCache>
                <ptCount val="1"/>
                <pt idx="0">
                  <v xml:space="preserve">enqueue (Linked List) 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2"/>
                </a:solidFill>
                <a:prstDash val="sysDot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0.09593553005287829"/>
                  <y val="0.1237672790901137"/>
                </manualLayout>
              </layout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'01-Data Lab 4'!$A$14:$A$21</f>
              <numCache>
                <formatCode>0.00%</formatCode>
                <ptCount val="8"/>
                <pt idx="0">
                  <v>0.005</v>
                </pt>
                <pt idx="1">
                  <v>0.05</v>
                </pt>
                <pt idx="2">
                  <v>0.1</v>
                </pt>
                <pt idx="3">
                  <v>0.2</v>
                </pt>
                <pt idx="4">
                  <v>0.3</v>
                </pt>
                <pt idx="5">
                  <v>0.5</v>
                </pt>
                <pt idx="6">
                  <v>0.8</v>
                </pt>
                <pt idx="7">
                  <v>1</v>
                </pt>
              </numCache>
            </numRef>
          </xVal>
          <yVal>
            <numRef>
              <f>'01-Data Lab 4'!$C$14:$C$21</f>
              <numCache>
                <formatCode>General</formatCode>
                <ptCount val="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28118000"/>
        <axId val="1328121328"/>
      </scatterChart>
      <valAx>
        <axId val="132811800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 xml:space="preserve"> de la muestra [Num. elementos]</a:t>
                </a:r>
                <a:endParaRPr lang="en-US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28121328"/>
        <crosses val="autoZero"/>
        <crossBetween val="midCat"/>
      </valAx>
      <valAx>
        <axId val="13281213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28118000"/>
        <crosses val="autoZero"/>
        <crossBetween val="midCat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strRef>
              <f>'01-Data Lab 4'!$D$2</f>
              <strCache>
                <ptCount val="1"/>
                <pt idx="0">
                  <v xml:space="preserve">dequeue (Array List) 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-0.1363811854896437"/>
                  <y val="-0.00329452000318142"/>
                </manualLayout>
              </layout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'01-Data Lab 4'!$A$3:$A$11</f>
              <numCache>
                <formatCode>0.00%</formatCode>
                <ptCount val="9"/>
                <pt idx="0">
                  <v>0.005</v>
                </pt>
                <pt idx="1">
                  <v>0.05</v>
                </pt>
                <pt idx="2">
                  <v>0.1</v>
                </pt>
                <pt idx="3">
                  <v>0.2</v>
                </pt>
                <pt idx="4">
                  <v>0.3</v>
                </pt>
                <pt idx="5">
                  <v>0.5</v>
                </pt>
                <pt idx="6">
                  <v>0.8</v>
                </pt>
                <pt idx="7">
                  <v>1</v>
                </pt>
              </numCache>
            </numRef>
          </xVal>
          <yVal>
            <numRef>
              <f>'01-Data Lab 4'!$D$3:$D$11</f>
              <numCache>
                <formatCode>General</formatCode>
                <ptCount val="9"/>
              </numCache>
            </numRef>
          </yVal>
          <smooth val="1"/>
        </ser>
        <ser>
          <idx val="1"/>
          <order val="1"/>
          <tx>
            <strRef>
              <f>'01-Data Lab 4'!$D$13</f>
              <strCache>
                <ptCount val="1"/>
                <pt idx="0">
                  <v xml:space="preserve">dequeue (Linked List)  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2"/>
                </a:solidFill>
                <a:prstDash val="sysDot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0.09593553005287829"/>
                  <y val="0.1237672790901137"/>
                </manualLayout>
              </layout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'01-Data Lab 4'!$A$14:$A$21</f>
              <numCache>
                <formatCode>0.00%</formatCode>
                <ptCount val="8"/>
                <pt idx="0">
                  <v>0.005</v>
                </pt>
                <pt idx="1">
                  <v>0.05</v>
                </pt>
                <pt idx="2">
                  <v>0.1</v>
                </pt>
                <pt idx="3">
                  <v>0.2</v>
                </pt>
                <pt idx="4">
                  <v>0.3</v>
                </pt>
                <pt idx="5">
                  <v>0.5</v>
                </pt>
                <pt idx="6">
                  <v>0.8</v>
                </pt>
                <pt idx="7">
                  <v>1</v>
                </pt>
              </numCache>
            </numRef>
          </xVal>
          <yVal>
            <numRef>
              <f>'01-Data Lab 4'!$D$14:$D$21</f>
              <numCache>
                <formatCode>General</formatCode>
                <ptCount val="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28118000"/>
        <axId val="1328121328"/>
      </scatterChart>
      <valAx>
        <axId val="132811800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 xml:space="preserve"> de la muestra [Num. elementos]</a:t>
                </a:r>
                <a:endParaRPr lang="en-US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28121328"/>
        <crosses val="autoZero"/>
        <crossBetween val="midCat"/>
      </valAx>
      <valAx>
        <axId val="13281213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28118000"/>
        <crosses val="autoZero"/>
        <crossBetween val="midCat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strRef>
              <f>'01-Data Lab 4'!$E$2</f>
              <strCache>
                <ptCount val="1"/>
                <pt idx="0">
                  <v xml:space="preserve">peek (Array List) 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-0.1363811854896437"/>
                  <y val="-0.00329452000318142"/>
                </manualLayout>
              </layout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'01-Data Lab 4'!$A$3:$A$11</f>
              <numCache>
                <formatCode>0.00%</formatCode>
                <ptCount val="9"/>
                <pt idx="0">
                  <v>0.005</v>
                </pt>
                <pt idx="1">
                  <v>0.05</v>
                </pt>
                <pt idx="2">
                  <v>0.1</v>
                </pt>
                <pt idx="3">
                  <v>0.2</v>
                </pt>
                <pt idx="4">
                  <v>0.3</v>
                </pt>
                <pt idx="5">
                  <v>0.5</v>
                </pt>
                <pt idx="6">
                  <v>0.8</v>
                </pt>
                <pt idx="7">
                  <v>1</v>
                </pt>
              </numCache>
            </numRef>
          </xVal>
          <yVal>
            <numRef>
              <f>'01-Data Lab 4'!$E$3:$E$11</f>
              <numCache>
                <formatCode>General</formatCode>
                <ptCount val="9"/>
              </numCache>
            </numRef>
          </yVal>
          <smooth val="1"/>
        </ser>
        <ser>
          <idx val="1"/>
          <order val="1"/>
          <tx>
            <strRef>
              <f>'01-Data Lab 4'!$E$13</f>
              <strCache>
                <ptCount val="1"/>
                <pt idx="0">
                  <v xml:space="preserve">peek (Linked List)  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2"/>
                </a:solidFill>
                <a:prstDash val="sysDot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0.09593553005287829"/>
                  <y val="0.1237672790901137"/>
                </manualLayout>
              </layout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'01-Data Lab 4'!$A$14:$A$21</f>
              <numCache>
                <formatCode>0.00%</formatCode>
                <ptCount val="8"/>
                <pt idx="0">
                  <v>0.005</v>
                </pt>
                <pt idx="1">
                  <v>0.05</v>
                </pt>
                <pt idx="2">
                  <v>0.1</v>
                </pt>
                <pt idx="3">
                  <v>0.2</v>
                </pt>
                <pt idx="4">
                  <v>0.3</v>
                </pt>
                <pt idx="5">
                  <v>0.5</v>
                </pt>
                <pt idx="6">
                  <v>0.8</v>
                </pt>
                <pt idx="7">
                  <v>1</v>
                </pt>
              </numCache>
            </numRef>
          </xVal>
          <yVal>
            <numRef>
              <f>'01-Data Lab 4'!$E$14:$E$21</f>
              <numCache>
                <formatCode>General</formatCode>
                <ptCount val="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28118000"/>
        <axId val="1328121328"/>
      </scatterChart>
      <valAx>
        <axId val="132811800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 xml:space="preserve"> de la muestra [Num. elementos]</a:t>
                </a:r>
                <a:endParaRPr lang="en-US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28121328"/>
        <crosses val="autoZero"/>
        <crossBetween val="midCat"/>
      </valAx>
      <valAx>
        <axId val="13281213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28118000"/>
        <crosses val="autoZero"/>
        <crossBetween val="midCat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 xml:space="preserve"> Stack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strRef>
              <f>'01-Data Lab 4'!$F$2</f>
              <strCache>
                <ptCount val="1"/>
                <pt idx="0">
                  <v>push (Array List)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-0.1363811854896437"/>
                  <y val="-0.00329452000318142"/>
                </manualLayout>
              </layout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'01-Data Lab 4'!$A$3:$A$10</f>
              <numCache>
                <formatCode>0.00%</formatCode>
                <ptCount val="8"/>
                <pt idx="0">
                  <v>0.005</v>
                </pt>
                <pt idx="1">
                  <v>0.05</v>
                </pt>
                <pt idx="2">
                  <v>0.1</v>
                </pt>
                <pt idx="3">
                  <v>0.2</v>
                </pt>
                <pt idx="4">
                  <v>0.3</v>
                </pt>
                <pt idx="5">
                  <v>0.5</v>
                </pt>
                <pt idx="6">
                  <v>0.8</v>
                </pt>
                <pt idx="7">
                  <v>1</v>
                </pt>
              </numCache>
            </numRef>
          </xVal>
          <yVal>
            <numRef>
              <f>'01-Data Lab 4'!$F$3:$F$10</f>
              <numCache>
                <formatCode>General</formatCode>
                <ptCount val="8"/>
              </numCache>
            </numRef>
          </yVal>
          <smooth val="1"/>
        </ser>
        <ser>
          <idx val="1"/>
          <order val="1"/>
          <tx>
            <strRef>
              <f>'01-Data Lab 4'!$F$13</f>
              <strCache>
                <ptCount val="1"/>
                <pt idx="0">
                  <v xml:space="preserve">push (Linked List) 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2"/>
                </a:solidFill>
                <a:prstDash val="sysDot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0.09593553005287829"/>
                  <y val="0.1237672790901137"/>
                </manualLayout>
              </layout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'01-Data Lab 4'!$A$14:$A$21</f>
              <numCache>
                <formatCode>0.00%</formatCode>
                <ptCount val="8"/>
                <pt idx="0">
                  <v>0.005</v>
                </pt>
                <pt idx="1">
                  <v>0.05</v>
                </pt>
                <pt idx="2">
                  <v>0.1</v>
                </pt>
                <pt idx="3">
                  <v>0.2</v>
                </pt>
                <pt idx="4">
                  <v>0.3</v>
                </pt>
                <pt idx="5">
                  <v>0.5</v>
                </pt>
                <pt idx="6">
                  <v>0.8</v>
                </pt>
                <pt idx="7">
                  <v>1</v>
                </pt>
              </numCache>
            </numRef>
          </xVal>
          <yVal>
            <numRef>
              <f>'01-Data Lab 4'!$F$14:$F$21</f>
              <numCache>
                <formatCode>General</formatCode>
                <ptCount val="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28118000"/>
        <axId val="1328121328"/>
      </scatterChart>
      <valAx>
        <axId val="132811800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 xml:space="preserve"> de la muestra [Num. elementos]</a:t>
                </a:r>
                <a:endParaRPr lang="en-US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28121328"/>
        <crosses val="autoZero"/>
        <crossBetween val="midCat"/>
      </valAx>
      <valAx>
        <axId val="13281213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28118000"/>
        <crosses val="autoZero"/>
        <crossBetween val="midCat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 xml:space="preserve"> Stack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strRef>
              <f>'01-Data Lab 4'!$G$2</f>
              <strCache>
                <ptCount val="1"/>
                <pt idx="0">
                  <v>pop (Array List)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-0.1363811854896437"/>
                  <y val="-0.00329452000318142"/>
                </manualLayout>
              </layout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'01-Data Lab 4'!$A$3:$A$10</f>
              <numCache>
                <formatCode>0.00%</formatCode>
                <ptCount val="8"/>
                <pt idx="0">
                  <v>0.005</v>
                </pt>
                <pt idx="1">
                  <v>0.05</v>
                </pt>
                <pt idx="2">
                  <v>0.1</v>
                </pt>
                <pt idx="3">
                  <v>0.2</v>
                </pt>
                <pt idx="4">
                  <v>0.3</v>
                </pt>
                <pt idx="5">
                  <v>0.5</v>
                </pt>
                <pt idx="6">
                  <v>0.8</v>
                </pt>
                <pt idx="7">
                  <v>1</v>
                </pt>
              </numCache>
            </numRef>
          </xVal>
          <yVal>
            <numRef>
              <f>'01-Data Lab 4'!$G$3:$G$10</f>
              <numCache>
                <formatCode>General</formatCode>
                <ptCount val="8"/>
              </numCache>
            </numRef>
          </yVal>
          <smooth val="1"/>
        </ser>
        <ser>
          <idx val="1"/>
          <order val="1"/>
          <tx>
            <strRef>
              <f>'01-Data Lab 4'!$G$13</f>
              <strCache>
                <ptCount val="1"/>
                <pt idx="0">
                  <v xml:space="preserve">pop (Linked List) 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2"/>
                </a:solidFill>
                <a:prstDash val="sysDot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0.09593553005287829"/>
                  <y val="0.1237672790901137"/>
                </manualLayout>
              </layout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'01-Data Lab 4'!$A$14:$A$21</f>
              <numCache>
                <formatCode>0.00%</formatCode>
                <ptCount val="8"/>
                <pt idx="0">
                  <v>0.005</v>
                </pt>
                <pt idx="1">
                  <v>0.05</v>
                </pt>
                <pt idx="2">
                  <v>0.1</v>
                </pt>
                <pt idx="3">
                  <v>0.2</v>
                </pt>
                <pt idx="4">
                  <v>0.3</v>
                </pt>
                <pt idx="5">
                  <v>0.5</v>
                </pt>
                <pt idx="6">
                  <v>0.8</v>
                </pt>
                <pt idx="7">
                  <v>1</v>
                </pt>
              </numCache>
            </numRef>
          </xVal>
          <yVal>
            <numRef>
              <f>'01-Data Lab 4'!$G$14:$G$21</f>
              <numCache>
                <formatCode>General</formatCode>
                <ptCount val="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28118000"/>
        <axId val="1328121328"/>
      </scatterChart>
      <valAx>
        <axId val="132811800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 xml:space="preserve"> de la muestra [Num. elementos]</a:t>
                </a:r>
                <a:endParaRPr lang="en-US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28121328"/>
        <crosses val="autoZero"/>
        <crossBetween val="midCat"/>
      </valAx>
      <valAx>
        <axId val="13281213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28118000"/>
        <crosses val="autoZero"/>
        <crossBetween val="midCat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 xml:space="preserve"> Stack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strRef>
              <f>'01-Data Lab 4'!$H$2</f>
              <strCache>
                <ptCount val="1"/>
                <pt idx="0">
                  <v xml:space="preserve">top(Array List) 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-0.1363811854896437"/>
                  <y val="-0.00329452000318142"/>
                </manualLayout>
              </layout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'01-Data Lab 4'!$A$3:$A$10</f>
              <numCache>
                <formatCode>0.00%</formatCode>
                <ptCount val="8"/>
                <pt idx="0">
                  <v>0.005</v>
                </pt>
                <pt idx="1">
                  <v>0.05</v>
                </pt>
                <pt idx="2">
                  <v>0.1</v>
                </pt>
                <pt idx="3">
                  <v>0.2</v>
                </pt>
                <pt idx="4">
                  <v>0.3</v>
                </pt>
                <pt idx="5">
                  <v>0.5</v>
                </pt>
                <pt idx="6">
                  <v>0.8</v>
                </pt>
                <pt idx="7">
                  <v>1</v>
                </pt>
              </numCache>
            </numRef>
          </xVal>
          <yVal>
            <numRef>
              <f>'01-Data Lab 4'!$H$3:$H$10</f>
              <numCache>
                <formatCode>General</formatCode>
                <ptCount val="8"/>
              </numCache>
            </numRef>
          </yVal>
          <smooth val="1"/>
        </ser>
        <ser>
          <idx val="1"/>
          <order val="1"/>
          <tx>
            <strRef>
              <f>'01-Data Lab 4'!$H$13</f>
              <strCache>
                <ptCount val="1"/>
                <pt idx="0">
                  <v xml:space="preserve">top(Linked List) 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2"/>
                </a:solidFill>
                <a:prstDash val="sysDot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0.09593553005287829"/>
                  <y val="0.1237672790901137"/>
                </manualLayout>
              </layout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'01-Data Lab 4'!$A$14:$A$21</f>
              <numCache>
                <formatCode>0.00%</formatCode>
                <ptCount val="8"/>
                <pt idx="0">
                  <v>0.005</v>
                </pt>
                <pt idx="1">
                  <v>0.05</v>
                </pt>
                <pt idx="2">
                  <v>0.1</v>
                </pt>
                <pt idx="3">
                  <v>0.2</v>
                </pt>
                <pt idx="4">
                  <v>0.3</v>
                </pt>
                <pt idx="5">
                  <v>0.5</v>
                </pt>
                <pt idx="6">
                  <v>0.8</v>
                </pt>
                <pt idx="7">
                  <v>1</v>
                </pt>
              </numCache>
            </numRef>
          </xVal>
          <yVal>
            <numRef>
              <f>'01-Data Lab 4'!$H$14:$H$21</f>
              <numCache>
                <formatCode>General</formatCode>
                <ptCount val="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28118000"/>
        <axId val="1328121328"/>
      </scatterChart>
      <valAx>
        <axId val="132811800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 xml:space="preserve"> de la muestra [Num. elementos]</a:t>
                </a:r>
                <a:endParaRPr lang="en-US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28121328"/>
        <crosses val="autoZero"/>
        <crossBetween val="midCat"/>
      </valAx>
      <valAx>
        <axId val="13281213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28118000"/>
        <crosses val="autoZero"/>
        <crossBetween val="midCat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chart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chart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chart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chart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chart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chartsheets/sheet1.xml><?xml version="1.0" encoding="utf-8"?>
<chartsheet xmlns="http://schemas.openxmlformats.org/spreadsheetml/2006/main">
  <sheetPr>
    <tabColor theme="9" tint="0.5999938962981048"/>
  </sheetPr>
  <sheetViews>
    <sheetView workbookViewId="0" zoomToFit="1"/>
  </sheetViews>
  <pageMargins left="0.7" right="0.7" top="0.75" bottom="0.75" header="0.3" footer="0.3"/>
  <drawing xmlns:r="http://schemas.openxmlformats.org/officeDocument/2006/relationships" r:id="rId1"/>
</chartsheet>
</file>

<file path=xl/chartsheets/sheet2.xml><?xml version="1.0" encoding="utf-8"?>
<chartsheet xmlns="http://schemas.openxmlformats.org/spreadsheetml/2006/main">
  <sheetPr>
    <tabColor theme="9" tint="0.5999938962981048"/>
  </sheetPr>
  <sheetViews>
    <sheetView workbookViewId="0" zoomToFit="1"/>
  </sheetViews>
  <pageMargins left="0.7" right="0.7" top="0.75" bottom="0.75" header="0.3" footer="0.3"/>
  <drawing xmlns:r="http://schemas.openxmlformats.org/officeDocument/2006/relationships" r:id="rId1"/>
</chartsheet>
</file>

<file path=xl/chartsheets/sheet3.xml><?xml version="1.0" encoding="utf-8"?>
<chartsheet xmlns="http://schemas.openxmlformats.org/spreadsheetml/2006/main">
  <sheetPr>
    <tabColor theme="9" tint="0.5999938962981048"/>
  </sheetPr>
  <sheetViews>
    <sheetView workbookViewId="0" zoomToFit="1"/>
  </sheetViews>
  <pageMargins left="0.7" right="0.7" top="0.75" bottom="0.75" header="0.3" footer="0.3"/>
  <drawing xmlns:r="http://schemas.openxmlformats.org/officeDocument/2006/relationships" r:id="rId1"/>
</chartsheet>
</file>

<file path=xl/chartsheets/sheet4.xml><?xml version="1.0" encoding="utf-8"?>
<chartsheet xmlns="http://schemas.openxmlformats.org/spreadsheetml/2006/main">
  <sheetPr>
    <tabColor rgb="FFF69E76"/>
  </sheetPr>
  <sheetViews>
    <sheetView workbookViewId="0" zoomToFit="1"/>
  </sheetViews>
  <pageMargins left="0.7" right="0.7" top="0.75" bottom="0.75" header="0.3" footer="0.3"/>
  <drawing xmlns:r="http://schemas.openxmlformats.org/officeDocument/2006/relationships" r:id="rId1"/>
</chartsheet>
</file>

<file path=xl/chartsheets/sheet5.xml><?xml version="1.0" encoding="utf-8"?>
<chartsheet xmlns="http://schemas.openxmlformats.org/spreadsheetml/2006/main">
  <sheetPr>
    <tabColor rgb="FFF69E76"/>
  </sheetPr>
  <sheetViews>
    <sheetView workbookViewId="0" zoomToFit="1"/>
  </sheetViews>
  <pageMargins left="0.7" right="0.7" top="0.75" bottom="0.75" header="0.3" footer="0.3"/>
  <drawing xmlns:r="http://schemas.openxmlformats.org/officeDocument/2006/relationships" r:id="rId1"/>
</chartsheet>
</file>

<file path=xl/chartsheets/sheet6.xml><?xml version="1.0" encoding="utf-8"?>
<chartsheet xmlns="http://schemas.openxmlformats.org/spreadsheetml/2006/main">
  <sheetPr>
    <tabColor rgb="FFF69E76"/>
  </sheetPr>
  <sheetViews>
    <sheetView workbookViewId="0" zoomToFit="1"/>
  </sheetViews>
  <pageMargins left="0.7" right="0.7" top="0.75" bottom="0.75" header="0.3" footer="0.3"/>
  <drawing xmlns:r="http://schemas.openxmlformats.org/officeDocument/2006/relationships"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drawings/drawing2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drawings/drawing3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drawings/drawing4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drawings/drawing5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drawings/drawing6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tables/table1.xml><?xml version="1.0" encoding="utf-8"?>
<table xmlns="http://schemas.openxmlformats.org/spreadsheetml/2006/main" id="1" name="Table1" displayName="Table1" ref="A2:H10" headerRowCount="1" totalsRowShown="0" headerRowDxfId="19" dataDxfId="18">
  <autoFilter ref="A2:H10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</autoFilter>
  <tableColumns count="8">
    <tableColumn id="1" name="Porcentaje de la muestra [pct]" dataDxfId="17"/>
    <tableColumn id="2" name="Tamaño de la muestra (ARRAY_LIST)" dataDxfId="16">
      <calculatedColumnFormula>Table1[[#This Row],[Porcentaje de la muestra '[pct']]]*10000</calculatedColumnFormula>
    </tableColumn>
    <tableColumn id="3" name="enqueue (Array List) " dataDxfId="8"/>
    <tableColumn id="4" name="dequeue (Array List) " dataDxfId="7"/>
    <tableColumn id="5" name="peek (Array List) " dataDxfId="6"/>
    <tableColumn id="8" name="push (Array List)" dataDxfId="5"/>
    <tableColumn id="9" name="pop (Array List)" dataDxfId="4"/>
    <tableColumn id="11" name="top(Array List) " dataDxfId="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3:H21" headerRowCount="1" totalsRowShown="0" headerRowDxfId="15" dataDxfId="14">
  <autoFilter ref="A13:H21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</autoFilter>
  <tableColumns count="8">
    <tableColumn id="1" name="Porcentaje de la muestra [pct]" dataDxfId="13"/>
    <tableColumn id="2" name="Tamaño de la muestra (LINKED_LIST)" dataDxfId="12">
      <calculatedColumnFormula>Table13[[#This Row],[Porcentaje de la muestra '[pct']]]*10000</calculatedColumnFormula>
    </tableColumn>
    <tableColumn id="3" name="enqueue (Linked List) " dataDxfId="11"/>
    <tableColumn id="4" name="dequeue (Linked List)  " dataDxfId="10"/>
    <tableColumn id="5" name="peek (Linked List)  " dataDxfId="9"/>
    <tableColumn id="8" name="push (Linked List) " dataDxfId="2"/>
    <tableColumn id="9" name="pop (Linked List) " dataDxfId="1"/>
    <tableColumn id="11" name="top(Linked List) 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tabSelected="1" zoomScale="90" zoomScaleNormal="90" workbookViewId="0">
      <selection activeCell="J13" sqref="J13"/>
    </sheetView>
  </sheetViews>
  <sheetFormatPr baseColWidth="10" defaultColWidth="8.85546875" defaultRowHeight="15"/>
  <cols>
    <col width="19.140625" bestFit="1" customWidth="1" style="1" min="1" max="1"/>
    <col width="25.5703125" bestFit="1" customWidth="1" style="1" min="2" max="2"/>
    <col width="24.42578125" customWidth="1" style="1" min="3" max="4"/>
    <col width="24.42578125" customWidth="1" style="6" min="5" max="5"/>
    <col width="24.42578125" customWidth="1" min="6" max="12"/>
  </cols>
  <sheetData>
    <row r="1" ht="14.25" customHeight="1">
      <c r="C1" s="7" t="inlineStr">
        <is>
          <t>TIEMPOS PARA QUEUE [ms]</t>
        </is>
      </c>
      <c r="F1" s="8" t="inlineStr">
        <is>
          <t>TIEMPOS PARA STACK [ms]</t>
        </is>
      </c>
    </row>
    <row r="2" ht="30" customFormat="1" customHeight="1" s="5">
      <c r="A2" s="4" t="inlineStr">
        <is>
          <t>Porcentaje de la muestra [pct]</t>
        </is>
      </c>
      <c r="B2" s="4" t="inlineStr">
        <is>
          <t>Tamaño de la muestra (ARRAY_LIST)</t>
        </is>
      </c>
      <c r="C2" s="4" t="inlineStr">
        <is>
          <t xml:space="preserve">enqueue (Array List) </t>
        </is>
      </c>
      <c r="D2" s="4" t="inlineStr">
        <is>
          <t xml:space="preserve">dequeue (Array List) </t>
        </is>
      </c>
      <c r="E2" s="4" t="inlineStr">
        <is>
          <t xml:space="preserve">peek (Array List) </t>
        </is>
      </c>
      <c r="F2" s="4" t="inlineStr">
        <is>
          <t>push (Array List)</t>
        </is>
      </c>
      <c r="G2" s="4" t="inlineStr">
        <is>
          <t>pop (Array List)</t>
        </is>
      </c>
      <c r="H2" s="4" t="inlineStr">
        <is>
          <t xml:space="preserve">top(Array List) </t>
        </is>
      </c>
    </row>
    <row r="3" customFormat="1" s="5">
      <c r="A3" s="2" t="n">
        <v>0.005</v>
      </c>
      <c r="B3" s="3">
        <f>Table1[[#This Row],[Porcentaje de la muestra '[pct']]]*10000</f>
        <v/>
      </c>
      <c r="C3" s="4" t="n">
        <v>0.08</v>
      </c>
      <c r="D3" s="4" t="n">
        <v>0.095</v>
      </c>
      <c r="E3" s="4" t="n">
        <v>0.004</v>
      </c>
      <c r="F3" s="4" t="n">
        <v>0.035</v>
      </c>
      <c r="G3" s="4" t="n">
        <v>0.053</v>
      </c>
      <c r="H3" s="4" t="n">
        <v>0.003</v>
      </c>
    </row>
    <row r="4" customFormat="1" s="5">
      <c r="A4" s="2" t="n">
        <v>0.05</v>
      </c>
      <c r="B4" s="3">
        <f>Table1[[#This Row],[Porcentaje de la muestra '[pct']]]*10000</f>
        <v/>
      </c>
      <c r="C4" s="4" t="n">
        <v>0.408</v>
      </c>
      <c r="D4" s="4" t="n">
        <v>0.464</v>
      </c>
      <c r="E4" s="4" t="n">
        <v>0.002</v>
      </c>
      <c r="F4" s="4" t="n">
        <v>0.347</v>
      </c>
      <c r="G4" s="4" t="n">
        <v>0.452</v>
      </c>
      <c r="H4" s="4" t="n">
        <v>0.001</v>
      </c>
    </row>
    <row r="5">
      <c r="A5" s="2" t="n">
        <v>0.1</v>
      </c>
      <c r="B5" s="3">
        <f>Table1[[#This Row],[Porcentaje de la muestra '[pct']]]*10000</f>
        <v/>
      </c>
      <c r="C5" s="4" t="n">
        <v>0.661</v>
      </c>
      <c r="D5" s="4" t="n">
        <v>1.095</v>
      </c>
      <c r="E5" s="4" t="n">
        <v>0.001</v>
      </c>
      <c r="F5" s="4" t="n">
        <v>0.6830000000000001</v>
      </c>
      <c r="G5" s="4" t="n">
        <v>1.012</v>
      </c>
      <c r="H5" s="4" t="n">
        <v>0.001</v>
      </c>
    </row>
    <row r="6">
      <c r="A6" s="2" t="n">
        <v>0.2</v>
      </c>
      <c r="B6" s="3">
        <f>Table1[[#This Row],[Porcentaje de la muestra '[pct']]]*10000</f>
        <v/>
      </c>
      <c r="C6" s="4" t="n">
        <v>1.419</v>
      </c>
      <c r="D6" s="4" t="n">
        <v>2.883</v>
      </c>
      <c r="E6" s="4" t="n">
        <v>0.007</v>
      </c>
      <c r="F6" s="4" t="n">
        <v>2.487</v>
      </c>
      <c r="G6" s="4" t="n">
        <v>1.999</v>
      </c>
      <c r="H6" s="4" t="n">
        <v>0.031</v>
      </c>
    </row>
    <row r="7">
      <c r="A7" s="2" t="n">
        <v>0.3</v>
      </c>
      <c r="B7" s="3">
        <f>Table1[[#This Row],[Porcentaje de la muestra '[pct']]]*10000</f>
        <v/>
      </c>
      <c r="C7" s="4" t="n">
        <v>1.968</v>
      </c>
      <c r="D7" s="4" t="n">
        <v>3.608</v>
      </c>
      <c r="E7" s="4" t="n">
        <v>0.002</v>
      </c>
      <c r="F7" s="4" t="n">
        <v>1.936</v>
      </c>
      <c r="G7" s="4" t="n">
        <v>2.501</v>
      </c>
      <c r="H7" s="4" t="n">
        <v>0.001</v>
      </c>
    </row>
    <row r="8">
      <c r="A8" s="2" t="n">
        <v>0.5</v>
      </c>
      <c r="B8" s="3">
        <f>Table1[[#This Row],[Porcentaje de la muestra '[pct']]]*10000</f>
        <v/>
      </c>
      <c r="C8" s="4" t="n">
        <v>4.409</v>
      </c>
      <c r="D8" s="4" t="n">
        <v>7.411</v>
      </c>
      <c r="E8" s="4" t="n">
        <v>0.002</v>
      </c>
      <c r="F8" s="4" t="n">
        <v>4.615</v>
      </c>
      <c r="G8" s="4" t="n">
        <v>4.311</v>
      </c>
      <c r="H8" s="4" t="n">
        <v>0.002</v>
      </c>
    </row>
    <row r="9">
      <c r="A9" s="2" t="n">
        <v>0.8</v>
      </c>
      <c r="B9" s="3">
        <f>Table1[[#This Row],[Porcentaje de la muestra '[pct']]]*10000</f>
        <v/>
      </c>
      <c r="C9" s="4" t="n">
        <v>5.503</v>
      </c>
      <c r="D9" s="4" t="n">
        <v>18.44</v>
      </c>
      <c r="E9" s="4" t="n">
        <v>0.002</v>
      </c>
      <c r="F9" s="4" t="n">
        <v>7.501</v>
      </c>
      <c r="G9" s="4" t="n">
        <v>6.771</v>
      </c>
      <c r="H9" s="4" t="n">
        <v>0.003</v>
      </c>
    </row>
    <row r="10">
      <c r="A10" s="2" t="n">
        <v>1</v>
      </c>
      <c r="B10" s="3">
        <f>Table1[[#This Row],[Porcentaje de la muestra '[pct']]]*10000</f>
        <v/>
      </c>
      <c r="C10" s="4" t="n">
        <v>7.607</v>
      </c>
      <c r="D10" s="4" t="n">
        <v>24.346</v>
      </c>
      <c r="E10" s="4" t="n">
        <v>0.003</v>
      </c>
      <c r="F10" s="4" t="n">
        <v>7.438</v>
      </c>
      <c r="G10" s="4" t="n">
        <v>9.875</v>
      </c>
      <c r="H10" s="4" t="n">
        <v>0.002</v>
      </c>
    </row>
    <row r="12" ht="14.25" customHeight="1">
      <c r="C12" s="7" t="inlineStr">
        <is>
          <t>TIEMPOS PARA QUEUE [ms]</t>
        </is>
      </c>
      <c r="F12" s="8" t="inlineStr">
        <is>
          <t>TIEMPOS PARA STACK [ms]</t>
        </is>
      </c>
    </row>
    <row r="13" ht="30" customFormat="1" customHeight="1" s="5">
      <c r="A13" s="4" t="inlineStr">
        <is>
          <t>Porcentaje de la muestra [pct]</t>
        </is>
      </c>
      <c r="B13" s="4" t="inlineStr">
        <is>
          <t>Tamaño de la muestra (LINKED_LIST)</t>
        </is>
      </c>
      <c r="C13" s="4" t="inlineStr">
        <is>
          <t xml:space="preserve">enqueue (Linked List) </t>
        </is>
      </c>
      <c r="D13" s="4" t="inlineStr">
        <is>
          <t xml:space="preserve">dequeue (Linked List)  </t>
        </is>
      </c>
      <c r="E13" s="4" t="inlineStr">
        <is>
          <t xml:space="preserve">peek (Linked List)  </t>
        </is>
      </c>
      <c r="F13" s="4" t="inlineStr">
        <is>
          <t xml:space="preserve">push (Linked List) </t>
        </is>
      </c>
      <c r="G13" s="4" t="inlineStr">
        <is>
          <t xml:space="preserve">pop (Linked List) </t>
        </is>
      </c>
      <c r="H13" s="4" t="inlineStr">
        <is>
          <t xml:space="preserve">top(Linked List) </t>
        </is>
      </c>
    </row>
    <row r="14" customFormat="1" s="5">
      <c r="A14" s="2" t="n">
        <v>0.005</v>
      </c>
      <c r="B14" s="3">
        <f>Table13[[#This Row],[Porcentaje de la muestra '[pct']]]*10000</f>
        <v/>
      </c>
      <c r="C14" s="4" t="n">
        <v>0.244</v>
      </c>
      <c r="D14" s="4" t="n">
        <v>0.13</v>
      </c>
      <c r="E14" s="4" t="n">
        <v>0.019</v>
      </c>
      <c r="F14" s="4" t="n">
        <v>0.07000000000000001</v>
      </c>
      <c r="G14" s="4" t="n">
        <v>0.495</v>
      </c>
      <c r="H14" s="4" t="n">
        <v>0.006</v>
      </c>
    </row>
    <row r="15" customFormat="1" s="5">
      <c r="A15" s="2" t="n">
        <v>0.05</v>
      </c>
      <c r="B15" s="3">
        <f>Table13[[#This Row],[Porcentaje de la muestra '[pct']]]*10000</f>
        <v/>
      </c>
      <c r="C15" s="4" t="n">
        <v>0.918</v>
      </c>
      <c r="D15" s="4" t="n">
        <v>1.234</v>
      </c>
      <c r="E15" s="4" t="n">
        <v>0.002</v>
      </c>
      <c r="F15" s="4" t="n">
        <v>0.6889999999999999</v>
      </c>
      <c r="G15" s="4" t="n">
        <v>7.103</v>
      </c>
      <c r="H15" s="4" t="n">
        <v>0.003</v>
      </c>
    </row>
    <row r="16">
      <c r="A16" s="2" t="n">
        <v>0.1</v>
      </c>
      <c r="B16" s="3">
        <f>Table13[[#This Row],[Porcentaje de la muestra '[pct']]]*10000</f>
        <v/>
      </c>
      <c r="C16" s="4" t="n">
        <v>1.199</v>
      </c>
      <c r="D16" s="4" t="n">
        <v>1.048</v>
      </c>
      <c r="E16" s="4" t="n">
        <v>0.002</v>
      </c>
      <c r="F16" s="4" t="n">
        <v>0.866</v>
      </c>
      <c r="G16" s="4" t="n">
        <v>23.773</v>
      </c>
      <c r="H16" s="4" t="n">
        <v>0.002</v>
      </c>
    </row>
    <row r="17">
      <c r="A17" s="2" t="n">
        <v>0.2</v>
      </c>
      <c r="B17" s="3">
        <f>Table13[[#This Row],[Porcentaje de la muestra '[pct']]]*10000</f>
        <v/>
      </c>
      <c r="C17" s="4" t="n">
        <v>3.376</v>
      </c>
      <c r="D17" s="4" t="n">
        <v>2.21</v>
      </c>
      <c r="E17" s="4" t="n">
        <v>0.002</v>
      </c>
      <c r="F17" s="4" t="n">
        <v>2.783</v>
      </c>
      <c r="G17" s="4" t="n">
        <v>100.866</v>
      </c>
      <c r="H17" s="4" t="n">
        <v>0.003</v>
      </c>
    </row>
    <row r="18">
      <c r="A18" s="2" t="n">
        <v>0.3</v>
      </c>
      <c r="B18" s="3">
        <f>Table13[[#This Row],[Porcentaje de la muestra '[pct']]]*10000</f>
        <v/>
      </c>
      <c r="C18" s="4" t="n">
        <v>3.536</v>
      </c>
      <c r="D18" s="4" t="n">
        <v>4.249</v>
      </c>
      <c r="E18" s="4" t="n">
        <v>0.008999999999999999</v>
      </c>
      <c r="F18" s="4" t="n">
        <v>2.956</v>
      </c>
      <c r="G18" s="4" t="n">
        <v>260.109</v>
      </c>
      <c r="H18" s="4" t="n">
        <v>0.003</v>
      </c>
    </row>
    <row r="19">
      <c r="A19" s="2" t="n">
        <v>0.5</v>
      </c>
      <c r="B19" s="3">
        <f>Table13[[#This Row],[Porcentaje de la muestra '[pct']]]*10000</f>
        <v/>
      </c>
      <c r="C19" s="4" t="n">
        <v>6.514</v>
      </c>
      <c r="D19" s="4" t="n">
        <v>7.585</v>
      </c>
      <c r="E19" s="4" t="n">
        <v>0.003</v>
      </c>
      <c r="F19" s="4" t="n">
        <v>6.386</v>
      </c>
      <c r="G19" s="4" t="n">
        <v>744.605</v>
      </c>
      <c r="H19" s="4" t="n">
        <v>0.005</v>
      </c>
    </row>
    <row r="20">
      <c r="A20" s="2" t="n">
        <v>0.8</v>
      </c>
      <c r="B20" s="3">
        <f>Table13[[#This Row],[Porcentaje de la muestra '[pct']]]*10000</f>
        <v/>
      </c>
      <c r="C20" s="4" t="n">
        <v>11.359</v>
      </c>
      <c r="D20" s="4" t="n">
        <v>9.381</v>
      </c>
      <c r="E20" s="4" t="n">
        <v>0.003</v>
      </c>
      <c r="F20" s="4" t="n">
        <v>9.516</v>
      </c>
      <c r="G20" s="4" t="n">
        <v>1814.438</v>
      </c>
      <c r="H20" s="4" t="n">
        <v>0.004</v>
      </c>
    </row>
    <row r="21">
      <c r="A21" s="2" t="n">
        <v>1</v>
      </c>
      <c r="B21" s="3">
        <f>Table13[[#This Row],[Porcentaje de la muestra '[pct']]]*10000</f>
        <v/>
      </c>
      <c r="C21" s="4" t="n">
        <v>19.836</v>
      </c>
      <c r="D21" s="4" t="n">
        <v>13.144</v>
      </c>
      <c r="E21" s="4" t="n">
        <v>0.003</v>
      </c>
      <c r="F21" s="4" t="n">
        <v>28.19</v>
      </c>
      <c r="G21" s="4" t="n">
        <v>2836.77</v>
      </c>
      <c r="H21" s="4" t="n">
        <v>0.005</v>
      </c>
    </row>
  </sheetData>
  <mergeCells count="4">
    <mergeCell ref="C1:E1"/>
    <mergeCell ref="C12:E12"/>
    <mergeCell ref="F1:H1"/>
    <mergeCell ref="F12:H12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Santiago Felipe Arteaga Martin</dc:creator>
  <dcterms:created xmlns:dcterms="http://purl.org/dc/terms/" xmlns:xsi="http://www.w3.org/2001/XMLSchema-instance" xsi:type="dcterms:W3CDTF">2021-02-18T03:17:26Z</dcterms:created>
  <dcterms:modified xmlns:dcterms="http://purl.org/dc/terms/" xmlns:xsi="http://www.w3.org/2001/XMLSchema-instance" xsi:type="dcterms:W3CDTF">2026-09-06T15:25:10Z</dcterms:modified>
  <cp:lastModifiedBy>Juan Pablo Castro Avila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0x01010023858CF01A2EF24688B692775F4C60A4</vt:lpwstr>
  </property>
  <property name="MediaServiceImageTags" fmtid="{D5CDD505-2E9C-101B-9397-08002B2CF9AE}" pid="3">
    <vt:lpwstr xmlns:vt="http://schemas.openxmlformats.org/officeDocument/2006/docPropsVTypes"/>
  </property>
</Properties>
</file>