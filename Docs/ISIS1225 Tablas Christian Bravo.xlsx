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206f61cbe57f6cb9/Desktop/EDA/Laboratorio4-G06/Docs/"/>
    </mc:Choice>
  </mc:AlternateContent>
  <xr:revisionPtr revIDLastSave="0" documentId="11_78CE486D17DAAACA0247CF62454AF9D6031FE163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01-Data Lab 4" sheetId="1" r:id="rId1"/>
    <sheet name="02-Enqueue" sheetId="2" r:id="rId2"/>
    <sheet name="03-Dequeue" sheetId="3" r:id="rId3"/>
    <sheet name="04-Peek" sheetId="4" r:id="rId4"/>
    <sheet name="05-Push" sheetId="5" r:id="rId5"/>
    <sheet name="06-Pop" sheetId="6" r:id="rId6"/>
    <sheet name="07-Top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" i="1" l="1"/>
  <c r="B20" i="1"/>
  <c r="B19" i="1"/>
  <c r="B18" i="1"/>
  <c r="B17" i="1"/>
  <c r="B16" i="1"/>
  <c r="B15" i="1"/>
  <c r="B14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<sst xmlns="http://schemas.openxmlformats.org/spreadsheetml/2006/main" count="20" uniqueCount="17">
  <si>
    <t>TIEMPOS PARA QUEUE [ms]</t>
  </si>
  <si>
    <t>TIEMPOS PARA STACK [ms]</t>
  </si>
  <si>
    <t>Porcentaje de la muestra [pct]</t>
  </si>
  <si>
    <t>Tamaño de la muestra (ARRAY_LIST)</t>
  </si>
  <si>
    <t xml:space="preserve">enqueue (Array List) </t>
  </si>
  <si>
    <t xml:space="preserve">dequeue (Array List) </t>
  </si>
  <si>
    <t xml:space="preserve">peek (Array List) </t>
  </si>
  <si>
    <t>push (Array List)</t>
  </si>
  <si>
    <t>pop (Array List)</t>
  </si>
  <si>
    <t xml:space="preserve">top(Array List) </t>
  </si>
  <si>
    <t>Tamaño de la muestra (LINKED_LIST)</t>
  </si>
  <si>
    <t xml:space="preserve">enqueue (Linked List) </t>
  </si>
  <si>
    <t xml:space="preserve">dequeue (Linked List)  </t>
  </si>
  <si>
    <t xml:space="preserve">peek (Linked List)  </t>
  </si>
  <si>
    <t xml:space="preserve">push (Linked List) </t>
  </si>
  <si>
    <t xml:space="preserve">pop (Linked List) </t>
  </si>
  <si>
    <t xml:space="preserve">top(Linked List)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</si>
</sst>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1"/>
      <color theme="1"/>
      <name val="Dax-Regular"/>
    </font>
    <font>
      <b/>
      <sz val="11"/>
      <color rgb="FF000000"/>
      <name val="Dax-Regular"/>
    </font>
    <font>
      <b/>
      <sz val="11"/>
      <color theme="1"/>
      <name val="Dax-Regula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69E7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10" fontId="1" fillId="0" borderId="0" xfId="0" applyNumberFormat="1" applyFont="1" applyAlignment="1">
      <alignment horizontal="center" vertical="center" wrapText="1"/>
    </xf>
    <xf numFmtId="2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/>
    <xf numFmtId="0" fontId="5" fillId="3" borderId="0" xfId="0" applyFont="1" applyFill="1" applyAlignment="1">
      <alignment horizontal="center"/>
    </xf>
    <xf numFmtId="0" fontId="0" fillId="0" borderId="0" xfId="0"/>
  </cellXfs>
  <cellStyles count="1">
    <cellStyle name="Normal" xfId="0" builtinId="0"/>
  </cellStyles>
  <dxfs count="20">
    <dxf>
      <font>
        <b/>
        <strike val="0"/>
        <condense val="0"/>
        <extend val="0"/>
        <outline val="0"/>
        <shadow val="0"/>
        <vertAlign val="baseline"/>
        <sz val="11"/>
        <color rgb="FF000000"/>
        <name val="Dax-Regular"/>
      </font>
      <fill>
        <patternFill>
          <fgColor indexed="64"/>
          <bgColor indexed="65"/>
        </patternFill>
      </fill>
      <alignment horizontal="center" vertical="center" wrapText="1"/>
    </dxf>
    <dxf>
      <font>
        <b/>
        <strike val="0"/>
        <condense val="0"/>
        <extend val="0"/>
        <outline val="0"/>
        <shadow val="0"/>
        <vertAlign val="baseline"/>
        <sz val="11"/>
        <color rgb="FF000000"/>
        <name val="Dax-Regular"/>
      </font>
      <fill>
        <patternFill>
          <fgColor indexed="64"/>
          <bgColor indexed="65"/>
        </patternFill>
      </fill>
      <alignment horizontal="center" vertical="center" wrapText="1"/>
    </dxf>
    <dxf>
      <font>
        <b/>
        <strike val="0"/>
        <condense val="0"/>
        <extend val="0"/>
        <outline val="0"/>
        <shadow val="0"/>
        <vertAlign val="baseline"/>
        <sz val="11"/>
        <color rgb="FF000000"/>
        <name val="Dax-Regular"/>
      </font>
      <fill>
        <patternFill>
          <fgColor indexed="64"/>
          <bgColor indexed="65"/>
        </patternFill>
      </fill>
      <alignment horizontal="center" vertical="center" wrapText="1"/>
    </dxf>
    <dxf>
      <font>
        <b/>
        <strike val="0"/>
        <condense val="0"/>
        <extend val="0"/>
        <outline val="0"/>
        <shadow val="0"/>
        <vertAlign val="baseline"/>
        <sz val="11"/>
        <color rgb="FF000000"/>
        <name val="Dax-Regular"/>
      </font>
      <numFmt numFmtId="2" formatCode="0.00"/>
      <fill>
        <patternFill>
          <fgColor indexed="64"/>
          <bgColor auto="1"/>
        </patternFill>
      </fill>
      <alignment horizontal="center" vertical="center" wrapText="1"/>
    </dxf>
    <dxf>
      <font>
        <b/>
        <strike val="0"/>
        <condense val="0"/>
        <extend val="0"/>
        <outline val="0"/>
        <shadow val="0"/>
        <vertAlign val="baseline"/>
        <sz val="11"/>
        <color rgb="FF000000"/>
        <name val="Dax-Regular"/>
      </font>
      <alignment horizontal="center" vertical="center" wrapText="1"/>
    </dxf>
    <dxf>
      <font>
        <b/>
        <strike val="0"/>
        <condense val="0"/>
        <extend val="0"/>
        <outline val="0"/>
        <shadow val="0"/>
        <vertAlign val="baseline"/>
        <sz val="11"/>
        <color rgb="FF000000"/>
        <name val="Dax-Regular"/>
      </font>
      <alignment horizontal="center" vertical="center" wrapText="1"/>
    </dxf>
    <dxf>
      <font>
        <strike val="0"/>
        <condense val="0"/>
        <extend val="0"/>
        <outline val="0"/>
        <shadow val="0"/>
        <vertAlign val="baseline"/>
        <sz val="11"/>
        <color theme="1"/>
        <name val="Dax-Regular"/>
      </font>
      <numFmt numFmtId="2" formatCode="0.00"/>
      <fill>
        <patternFill>
          <fgColor indexed="64"/>
          <bgColor indexed="65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Dax-Regular"/>
      </font>
      <numFmt numFmtId="14" formatCode="0.00%"/>
      <fill>
        <patternFill>
          <fgColor indexed="64"/>
          <bgColor indexed="65"/>
        </patternFill>
      </fill>
      <alignment horizontal="center" vertical="center" wrapText="1"/>
    </dxf>
    <dxf>
      <font>
        <strike val="0"/>
        <condense val="0"/>
        <extend val="0"/>
        <outline val="0"/>
        <shadow val="0"/>
        <vertAlign val="baseline"/>
        <sz val="11"/>
        <color theme="1"/>
        <name val="Dax-Regular"/>
      </font>
      <fill>
        <patternFill>
          <fgColor indexed="64"/>
          <bgColor indexed="65"/>
        </patternFill>
      </fill>
      <alignment horizontal="justify" vertical="center" wrapText="1"/>
    </dxf>
    <dxf>
      <font>
        <b/>
        <strike val="0"/>
        <condense val="0"/>
        <extend val="0"/>
        <outline val="0"/>
        <shadow val="0"/>
        <vertAlign val="baseline"/>
        <sz val="11"/>
        <color rgb="FF000000"/>
        <name val="Dax-Regular"/>
      </font>
      <fill>
        <patternFill>
          <fgColor indexed="64"/>
          <bgColor indexed="65"/>
        </patternFill>
      </fill>
      <alignment horizontal="center" vertical="center" wrapText="1"/>
    </dxf>
    <dxf>
      <font>
        <b/>
        <strike val="0"/>
        <condense val="0"/>
        <extend val="0"/>
        <outline val="0"/>
        <shadow val="0"/>
        <vertAlign val="baseline"/>
        <sz val="11"/>
        <color rgb="FF000000"/>
        <name val="Dax-Regular"/>
      </font>
      <fill>
        <patternFill>
          <fgColor indexed="64"/>
          <bgColor indexed="65"/>
        </patternFill>
      </fill>
      <alignment horizontal="center" vertical="center" wrapText="1"/>
    </dxf>
    <dxf>
      <font>
        <b/>
        <strike val="0"/>
        <condense val="0"/>
        <extend val="0"/>
        <outline val="0"/>
        <shadow val="0"/>
        <vertAlign val="baseline"/>
        <sz val="11"/>
        <color rgb="FF000000"/>
        <name val="Dax-Regular"/>
      </font>
      <fill>
        <patternFill>
          <fgColor indexed="64"/>
          <bgColor indexed="65"/>
        </patternFill>
      </fill>
      <alignment horizontal="center" vertical="center" wrapText="1"/>
    </dxf>
    <dxf>
      <font>
        <b/>
        <strike val="0"/>
        <condense val="0"/>
        <extend val="0"/>
        <outline val="0"/>
        <shadow val="0"/>
        <vertAlign val="baseline"/>
        <sz val="11"/>
        <color rgb="FF000000"/>
        <name val="Dax-Regular"/>
      </font>
      <fill>
        <patternFill>
          <fgColor indexed="64"/>
          <bgColor indexed="65"/>
        </patternFill>
      </fill>
      <alignment horizontal="center" vertical="center" wrapText="1"/>
    </dxf>
    <dxf>
      <font>
        <b/>
        <strike val="0"/>
        <condense val="0"/>
        <extend val="0"/>
        <outline val="0"/>
        <shadow val="0"/>
        <vertAlign val="baseline"/>
        <sz val="11"/>
        <color rgb="FF000000"/>
        <name val="Dax-Regular"/>
      </font>
      <numFmt numFmtId="2" formatCode="0.00"/>
      <fill>
        <patternFill>
          <fgColor indexed="64"/>
          <bgColor auto="1"/>
        </patternFill>
      </fill>
      <alignment horizontal="center" vertical="center" wrapText="1"/>
    </dxf>
    <dxf>
      <font>
        <b/>
        <strike val="0"/>
        <condense val="0"/>
        <extend val="0"/>
        <outline val="0"/>
        <shadow val="0"/>
        <vertAlign val="baseline"/>
        <sz val="11"/>
        <color rgb="FF000000"/>
        <name val="Dax-Regular"/>
      </font>
      <alignment horizontal="center" vertical="center" wrapText="1"/>
    </dxf>
    <dxf>
      <font>
        <b/>
        <strike val="0"/>
        <condense val="0"/>
        <extend val="0"/>
        <outline val="0"/>
        <shadow val="0"/>
        <vertAlign val="baseline"/>
        <sz val="11"/>
        <color rgb="FF000000"/>
        <name val="Dax-Regular"/>
      </font>
      <alignment horizontal="center" vertical="center" wrapText="1"/>
    </dxf>
    <dxf>
      <font>
        <strike val="0"/>
        <condense val="0"/>
        <extend val="0"/>
        <outline val="0"/>
        <shadow val="0"/>
        <vertAlign val="baseline"/>
        <sz val="11"/>
        <color theme="1"/>
        <name val="Dax-Regular"/>
      </font>
      <numFmt numFmtId="2" formatCode="0.00"/>
      <fill>
        <patternFill>
          <fgColor indexed="64"/>
          <bgColor indexed="65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Dax-Regular"/>
      </font>
      <numFmt numFmtId="14" formatCode="0.00%"/>
      <fill>
        <patternFill>
          <fgColor indexed="64"/>
          <bgColor indexed="65"/>
        </patternFill>
      </fill>
      <alignment horizontal="center" vertical="center" wrapText="1"/>
    </dxf>
    <dxf>
      <font>
        <strike val="0"/>
        <condense val="0"/>
        <extend val="0"/>
        <outline val="0"/>
        <shadow val="0"/>
        <vertAlign val="baseline"/>
        <sz val="11"/>
        <color theme="1"/>
        <name val="Dax-Regular"/>
      </font>
      <fill>
        <patternFill>
          <fgColor indexed="64"/>
          <bgColor indexed="65"/>
        </patternFill>
      </fill>
      <alignment horizontal="center" vertical="center" wrapText="1"/>
    </dxf>
    <dxf>
      <font>
        <b/>
        <strike val="0"/>
        <condense val="0"/>
        <extend val="0"/>
        <outline val="0"/>
        <shadow val="0"/>
        <vertAlign val="baseline"/>
        <sz val="11"/>
        <color rgb="FF000000"/>
        <name val="Dax-Regular"/>
      </font>
      <fill>
        <patternFill>
          <fgColor indexed="64"/>
          <bgColor indexed="65"/>
        </patternFill>
      </fill>
      <alignment horizontal="center" vertical="center"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chartsheet" Target="chartsheets/sheet2.xml"/><Relationship Id="rId7" Type="http://schemas.openxmlformats.org/officeDocument/2006/relationships/chartsheet" Target="chartsheets/sheet6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5.xml"/><Relationship Id="rId11" Type="http://schemas.openxmlformats.org/officeDocument/2006/relationships/calcChain" Target="calcChain.xml"/><Relationship Id="rId5" Type="http://schemas.openxmlformats.org/officeDocument/2006/relationships/chartsheet" Target="chartsheets/sheet4.xml"/><Relationship Id="rId10" Type="http://schemas.openxmlformats.org/officeDocument/2006/relationships/sharedStrings" Target="sharedStrings.xml"/><Relationship Id="rId4" Type="http://schemas.openxmlformats.org/officeDocument/2006/relationships/chartsheet" Target="chartsheets/sheet3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Comparación de tiempos de ejecucion para</a:t>
            </a:r>
            <a:r>
              <a:rPr lang="en-US" b="1" baseline="0"/>
              <a:t> Queue</a:t>
            </a:r>
            <a:endParaRPr lang="en-US" b="1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'01-Data Lab 4'!$C$2</c:f>
              <c:strCache>
                <c:ptCount val="1"/>
                <c:pt idx="0">
                  <c:v>enqueue (Array List) 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</c:spPr>
            <c:trendlineType val="linear"/>
            <c:dispRSqr val="1"/>
            <c:dispEq val="1"/>
            <c:trendlineLbl>
              <c:layout>
                <c:manualLayout>
                  <c:x val="-0.1363811854896437"/>
                  <c:y val="-3.29452000318142E-3"/>
                </c:manualLayout>
              </c:layout>
              <c:numFmt formatCode="General" sourceLinked="0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'01-Data Lab 4'!$A$3:$A$11</c:f>
              <c:numCache>
                <c:formatCode>0.00%</c:formatCode>
                <c:ptCount val="9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 Lab 4'!$C$3:$C$11</c:f>
              <c:numCache>
                <c:formatCode>General</c:formatCode>
                <c:ptCount val="9"/>
                <c:pt idx="0">
                  <c:v>0.08</c:v>
                </c:pt>
                <c:pt idx="1">
                  <c:v>0.40799999999999997</c:v>
                </c:pt>
                <c:pt idx="2">
                  <c:v>0.66100000000000003</c:v>
                </c:pt>
                <c:pt idx="3">
                  <c:v>1.419</c:v>
                </c:pt>
                <c:pt idx="4">
                  <c:v>1.968</c:v>
                </c:pt>
                <c:pt idx="5">
                  <c:v>4.4089999999999998</c:v>
                </c:pt>
                <c:pt idx="6">
                  <c:v>5.5030000000000001</c:v>
                </c:pt>
                <c:pt idx="7">
                  <c:v>7.6070000000000002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D28-418E-BD62-58D9ADB1751A}"/>
            </c:ext>
          </c:extLst>
        </c:ser>
        <c:ser>
          <c:idx val="1"/>
          <c:order val="1"/>
          <c:tx>
            <c:strRef>
              <c:f>'01-Data Lab 4'!$C$13</c:f>
              <c:strCache>
                <c:ptCount val="1"/>
                <c:pt idx="0">
                  <c:v>enqueue (Linked List) 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</c:spPr>
            <c:trendlineType val="linear"/>
            <c:dispRSqr val="1"/>
            <c:dispEq val="1"/>
            <c:trendlineLbl>
              <c:layout>
                <c:manualLayout>
                  <c:x val="9.593553005287829E-2"/>
                  <c:y val="0.1237672790901137"/>
                </c:manualLayout>
              </c:layout>
              <c:numFmt formatCode="General" sourceLinked="0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'01-Data Lab 4'!$A$14:$A$21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 Lab 4'!$C$14:$C$21</c:f>
              <c:numCache>
                <c:formatCode>General</c:formatCode>
                <c:ptCount val="8"/>
                <c:pt idx="0">
                  <c:v>0.24399999999999999</c:v>
                </c:pt>
                <c:pt idx="1">
                  <c:v>0.91800000000000004</c:v>
                </c:pt>
                <c:pt idx="2">
                  <c:v>1.1990000000000001</c:v>
                </c:pt>
                <c:pt idx="3">
                  <c:v>3.3759999999999999</c:v>
                </c:pt>
                <c:pt idx="4">
                  <c:v>3.536</c:v>
                </c:pt>
                <c:pt idx="5">
                  <c:v>6.5140000000000002</c:v>
                </c:pt>
                <c:pt idx="6">
                  <c:v>11.359</c:v>
                </c:pt>
                <c:pt idx="7">
                  <c:v>19.835999999999999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D28-418E-BD62-58D9ADB175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8118000"/>
        <c:axId val="1328121328"/>
      </c:scatterChart>
      <c:valAx>
        <c:axId val="1328118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Tamaño</a:t>
                </a:r>
                <a:r>
                  <a:rPr lang="en-US" b="1" baseline="0"/>
                  <a:t> de la muestra [Num. elementos]</a:t>
                </a:r>
                <a:endParaRPr lang="en-US" b="1"/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21328"/>
        <c:crosses val="autoZero"/>
        <c:crossBetween val="midCat"/>
      </c:valAx>
      <c:valAx>
        <c:axId val="1328121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Tiempo de Ejecución [ms]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18000"/>
        <c:crosses val="autoZero"/>
        <c:crossBetween val="midCat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Comparación de tiempos de ejecucion para Queue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'01-Data Lab 4'!$D$2</c:f>
              <c:strCache>
                <c:ptCount val="1"/>
                <c:pt idx="0">
                  <c:v>dequeue (Array List) 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</c:spPr>
            <c:trendlineType val="linear"/>
            <c:dispRSqr val="1"/>
            <c:dispEq val="1"/>
            <c:trendlineLbl>
              <c:layout>
                <c:manualLayout>
                  <c:x val="-0.1363811854896437"/>
                  <c:y val="-3.29452000318142E-3"/>
                </c:manualLayout>
              </c:layout>
              <c:numFmt formatCode="General" sourceLinked="0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'01-Data Lab 4'!$A$3:$A$11</c:f>
              <c:numCache>
                <c:formatCode>0.00%</c:formatCode>
                <c:ptCount val="9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 Lab 4'!$D$3:$D$11</c:f>
              <c:numCache>
                <c:formatCode>General</c:formatCode>
                <c:ptCount val="9"/>
                <c:pt idx="0">
                  <c:v>9.5000000000000001E-2</c:v>
                </c:pt>
                <c:pt idx="1">
                  <c:v>0.46400000000000002</c:v>
                </c:pt>
                <c:pt idx="2">
                  <c:v>1.095</c:v>
                </c:pt>
                <c:pt idx="3">
                  <c:v>2.883</c:v>
                </c:pt>
                <c:pt idx="4">
                  <c:v>3.6080000000000001</c:v>
                </c:pt>
                <c:pt idx="5">
                  <c:v>7.4109999999999996</c:v>
                </c:pt>
                <c:pt idx="6">
                  <c:v>18.440000000000001</c:v>
                </c:pt>
                <c:pt idx="7">
                  <c:v>24.346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46E-4878-8608-5CED0962A8E3}"/>
            </c:ext>
          </c:extLst>
        </c:ser>
        <c:ser>
          <c:idx val="1"/>
          <c:order val="1"/>
          <c:tx>
            <c:strRef>
              <c:f>'01-Data Lab 4'!$D$13</c:f>
              <c:strCache>
                <c:ptCount val="1"/>
                <c:pt idx="0">
                  <c:v>dequeue (Linked List)  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</c:spPr>
            <c:trendlineType val="linear"/>
            <c:dispRSqr val="1"/>
            <c:dispEq val="1"/>
            <c:trendlineLbl>
              <c:layout>
                <c:manualLayout>
                  <c:x val="9.593553005287829E-2"/>
                  <c:y val="0.1237672790901137"/>
                </c:manualLayout>
              </c:layout>
              <c:numFmt formatCode="General" sourceLinked="0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'01-Data Lab 4'!$A$14:$A$21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 Lab 4'!$D$14:$D$21</c:f>
              <c:numCache>
                <c:formatCode>General</c:formatCode>
                <c:ptCount val="8"/>
                <c:pt idx="0">
                  <c:v>0.13</c:v>
                </c:pt>
                <c:pt idx="1">
                  <c:v>1.234</c:v>
                </c:pt>
                <c:pt idx="2">
                  <c:v>1.048</c:v>
                </c:pt>
                <c:pt idx="3">
                  <c:v>2.21</c:v>
                </c:pt>
                <c:pt idx="4">
                  <c:v>4.2489999999999997</c:v>
                </c:pt>
                <c:pt idx="5">
                  <c:v>7.585</c:v>
                </c:pt>
                <c:pt idx="6">
                  <c:v>9.3810000000000002</c:v>
                </c:pt>
                <c:pt idx="7">
                  <c:v>13.144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46E-4878-8608-5CED0962A8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8118000"/>
        <c:axId val="1328121328"/>
      </c:scatterChart>
      <c:valAx>
        <c:axId val="1328118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Tamaño</a:t>
                </a:r>
                <a:r>
                  <a:rPr lang="en-US" b="1" baseline="0"/>
                  <a:t> de la muestra [Num. elementos]</a:t>
                </a:r>
                <a:endParaRPr lang="en-US" b="1"/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21328"/>
        <c:crosses val="autoZero"/>
        <c:crossBetween val="midCat"/>
      </c:valAx>
      <c:valAx>
        <c:axId val="1328121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Tiempo de Ejecución [ms]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18000"/>
        <c:crosses val="autoZero"/>
        <c:crossBetween val="midCat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Comparación de tiempos de ejecucion para Queue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'01-Data Lab 4'!$E$2</c:f>
              <c:strCache>
                <c:ptCount val="1"/>
                <c:pt idx="0">
                  <c:v>peek (Array List) 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</c:spPr>
            <c:trendlineType val="linear"/>
            <c:dispRSqr val="1"/>
            <c:dispEq val="1"/>
            <c:trendlineLbl>
              <c:layout>
                <c:manualLayout>
                  <c:x val="-0.1363811854896437"/>
                  <c:y val="-3.29452000318142E-3"/>
                </c:manualLayout>
              </c:layout>
              <c:numFmt formatCode="General" sourceLinked="0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'01-Data Lab 4'!$A$3:$A$11</c:f>
              <c:numCache>
                <c:formatCode>0.00%</c:formatCode>
                <c:ptCount val="9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 Lab 4'!$E$3:$E$11</c:f>
              <c:numCache>
                <c:formatCode>General</c:formatCode>
                <c:ptCount val="9"/>
                <c:pt idx="0">
                  <c:v>4.0000000000000001E-3</c:v>
                </c:pt>
                <c:pt idx="1">
                  <c:v>2E-3</c:v>
                </c:pt>
                <c:pt idx="2">
                  <c:v>1E-3</c:v>
                </c:pt>
                <c:pt idx="3">
                  <c:v>7.0000000000000001E-3</c:v>
                </c:pt>
                <c:pt idx="4">
                  <c:v>2E-3</c:v>
                </c:pt>
                <c:pt idx="5">
                  <c:v>2E-3</c:v>
                </c:pt>
                <c:pt idx="6">
                  <c:v>2E-3</c:v>
                </c:pt>
                <c:pt idx="7">
                  <c:v>3.0000000000000001E-3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0B5-43DD-A521-4D3CD6311627}"/>
            </c:ext>
          </c:extLst>
        </c:ser>
        <c:ser>
          <c:idx val="1"/>
          <c:order val="1"/>
          <c:tx>
            <c:strRef>
              <c:f>'01-Data Lab 4'!$E$13</c:f>
              <c:strCache>
                <c:ptCount val="1"/>
                <c:pt idx="0">
                  <c:v>peek (Linked List)  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</c:spPr>
            <c:trendlineType val="linear"/>
            <c:dispRSqr val="1"/>
            <c:dispEq val="1"/>
            <c:trendlineLbl>
              <c:layout>
                <c:manualLayout>
                  <c:x val="9.593553005287829E-2"/>
                  <c:y val="0.1237672790901137"/>
                </c:manualLayout>
              </c:layout>
              <c:numFmt formatCode="General" sourceLinked="0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'01-Data Lab 4'!$A$14:$A$21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 Lab 4'!$E$14:$E$21</c:f>
              <c:numCache>
                <c:formatCode>General</c:formatCode>
                <c:ptCount val="8"/>
                <c:pt idx="0">
                  <c:v>1.9E-2</c:v>
                </c:pt>
                <c:pt idx="1">
                  <c:v>2E-3</c:v>
                </c:pt>
                <c:pt idx="2">
                  <c:v>2E-3</c:v>
                </c:pt>
                <c:pt idx="3">
                  <c:v>2E-3</c:v>
                </c:pt>
                <c:pt idx="4">
                  <c:v>8.9999999999999993E-3</c:v>
                </c:pt>
                <c:pt idx="5">
                  <c:v>3.0000000000000001E-3</c:v>
                </c:pt>
                <c:pt idx="6">
                  <c:v>3.0000000000000001E-3</c:v>
                </c:pt>
                <c:pt idx="7">
                  <c:v>3.0000000000000001E-3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0B5-43DD-A521-4D3CD63116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8118000"/>
        <c:axId val="1328121328"/>
      </c:scatterChart>
      <c:valAx>
        <c:axId val="1328118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Tamaño</a:t>
                </a:r>
                <a:r>
                  <a:rPr lang="en-US" b="1" baseline="0"/>
                  <a:t> de la muestra [Num. elementos]</a:t>
                </a:r>
                <a:endParaRPr lang="en-US" b="1"/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21328"/>
        <c:crosses val="autoZero"/>
        <c:crossBetween val="midCat"/>
      </c:valAx>
      <c:valAx>
        <c:axId val="1328121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Tiempo de Ejecución [ms]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18000"/>
        <c:crosses val="autoZero"/>
        <c:crossBetween val="midCat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Comparación de tiempos de ejecucion para</a:t>
            </a:r>
            <a:r>
              <a:rPr lang="en-US" b="1" baseline="0"/>
              <a:t> Stack</a:t>
            </a:r>
            <a:endParaRPr lang="en-US" b="1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'01-Data Lab 4'!$F$2</c:f>
              <c:strCache>
                <c:ptCount val="1"/>
                <c:pt idx="0">
                  <c:v>push (Array List)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</c:spPr>
            <c:trendlineType val="linear"/>
            <c:dispRSqr val="1"/>
            <c:dispEq val="1"/>
            <c:trendlineLbl>
              <c:layout>
                <c:manualLayout>
                  <c:x val="-0.1363811854896437"/>
                  <c:y val="-3.29452000318142E-3"/>
                </c:manualLayout>
              </c:layout>
              <c:numFmt formatCode="General" sourceLinked="0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'01-Data Lab 4'!$A$3:$A$10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 Lab 4'!$F$3:$F$10</c:f>
              <c:numCache>
                <c:formatCode>General</c:formatCode>
                <c:ptCount val="8"/>
                <c:pt idx="0">
                  <c:v>3.5000000000000003E-2</c:v>
                </c:pt>
                <c:pt idx="1">
                  <c:v>0.34699999999999998</c:v>
                </c:pt>
                <c:pt idx="2">
                  <c:v>0.68300000000000005</c:v>
                </c:pt>
                <c:pt idx="3">
                  <c:v>2.4870000000000001</c:v>
                </c:pt>
                <c:pt idx="4">
                  <c:v>1.9359999999999999</c:v>
                </c:pt>
                <c:pt idx="5">
                  <c:v>4.6150000000000002</c:v>
                </c:pt>
                <c:pt idx="6">
                  <c:v>7.5010000000000003</c:v>
                </c:pt>
                <c:pt idx="7">
                  <c:v>7.4379999999999997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46E-43AB-9DBB-C74AA035946A}"/>
            </c:ext>
          </c:extLst>
        </c:ser>
        <c:ser>
          <c:idx val="1"/>
          <c:order val="1"/>
          <c:tx>
            <c:strRef>
              <c:f>'01-Data Lab 4'!$F$13</c:f>
              <c:strCache>
                <c:ptCount val="1"/>
                <c:pt idx="0">
                  <c:v>push (Linked List) 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</c:spPr>
            <c:trendlineType val="linear"/>
            <c:dispRSqr val="1"/>
            <c:dispEq val="1"/>
            <c:trendlineLbl>
              <c:layout>
                <c:manualLayout>
                  <c:x val="9.593553005287829E-2"/>
                  <c:y val="0.1237672790901137"/>
                </c:manualLayout>
              </c:layout>
              <c:numFmt formatCode="General" sourceLinked="0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'01-Data Lab 4'!$A$14:$A$21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 Lab 4'!$F$14:$F$21</c:f>
              <c:numCache>
                <c:formatCode>General</c:formatCode>
                <c:ptCount val="8"/>
                <c:pt idx="0">
                  <c:v>7.0000000000000007E-2</c:v>
                </c:pt>
                <c:pt idx="1">
                  <c:v>0.68899999999999995</c:v>
                </c:pt>
                <c:pt idx="2">
                  <c:v>0.86599999999999999</c:v>
                </c:pt>
                <c:pt idx="3">
                  <c:v>2.7829999999999999</c:v>
                </c:pt>
                <c:pt idx="4">
                  <c:v>2.956</c:v>
                </c:pt>
                <c:pt idx="5">
                  <c:v>6.3860000000000001</c:v>
                </c:pt>
                <c:pt idx="6">
                  <c:v>9.516</c:v>
                </c:pt>
                <c:pt idx="7">
                  <c:v>28.19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46E-43AB-9DBB-C74AA03594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8118000"/>
        <c:axId val="1328121328"/>
      </c:scatterChart>
      <c:valAx>
        <c:axId val="1328118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Tamaño</a:t>
                </a:r>
                <a:r>
                  <a:rPr lang="en-US" b="1" baseline="0"/>
                  <a:t> de la muestra [Num. elementos]</a:t>
                </a:r>
                <a:endParaRPr lang="en-US" b="1"/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21328"/>
        <c:crosses val="autoZero"/>
        <c:crossBetween val="midCat"/>
      </c:valAx>
      <c:valAx>
        <c:axId val="1328121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Tiempo de Ejecución [ms]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18000"/>
        <c:crosses val="autoZero"/>
        <c:crossBetween val="midCat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Comparación de tiempos de ejecucion para</a:t>
            </a:r>
            <a:r>
              <a:rPr lang="en-US" b="1" baseline="0"/>
              <a:t> Stack</a:t>
            </a:r>
            <a:endParaRPr lang="en-US" b="1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'01-Data Lab 4'!$G$2</c:f>
              <c:strCache>
                <c:ptCount val="1"/>
                <c:pt idx="0">
                  <c:v>pop (Array List)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</c:spPr>
            <c:trendlineType val="linear"/>
            <c:dispRSqr val="1"/>
            <c:dispEq val="1"/>
            <c:trendlineLbl>
              <c:layout>
                <c:manualLayout>
                  <c:x val="-0.1363811854896437"/>
                  <c:y val="-3.29452000318142E-3"/>
                </c:manualLayout>
              </c:layout>
              <c:numFmt formatCode="General" sourceLinked="0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'01-Data Lab 4'!$A$3:$A$10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 Lab 4'!$G$3:$G$10</c:f>
              <c:numCache>
                <c:formatCode>General</c:formatCode>
                <c:ptCount val="8"/>
                <c:pt idx="0">
                  <c:v>5.2999999999999999E-2</c:v>
                </c:pt>
                <c:pt idx="1">
                  <c:v>0.45200000000000001</c:v>
                </c:pt>
                <c:pt idx="2">
                  <c:v>1.012</c:v>
                </c:pt>
                <c:pt idx="3">
                  <c:v>1.9990000000000001</c:v>
                </c:pt>
                <c:pt idx="4">
                  <c:v>2.5009999999999999</c:v>
                </c:pt>
                <c:pt idx="5">
                  <c:v>4.3109999999999999</c:v>
                </c:pt>
                <c:pt idx="6">
                  <c:v>6.7709999999999999</c:v>
                </c:pt>
                <c:pt idx="7">
                  <c:v>9.875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05B-4D97-BEE0-EAB3A2AF25B3}"/>
            </c:ext>
          </c:extLst>
        </c:ser>
        <c:ser>
          <c:idx val="1"/>
          <c:order val="1"/>
          <c:tx>
            <c:strRef>
              <c:f>'01-Data Lab 4'!$G$13</c:f>
              <c:strCache>
                <c:ptCount val="1"/>
                <c:pt idx="0">
                  <c:v>pop (Linked List) 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</c:spPr>
            <c:trendlineType val="linear"/>
            <c:dispRSqr val="1"/>
            <c:dispEq val="1"/>
            <c:trendlineLbl>
              <c:layout>
                <c:manualLayout>
                  <c:x val="9.593553005287829E-2"/>
                  <c:y val="0.1237672790901137"/>
                </c:manualLayout>
              </c:layout>
              <c:numFmt formatCode="General" sourceLinked="0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'01-Data Lab 4'!$A$14:$A$21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 Lab 4'!$G$14:$G$21</c:f>
              <c:numCache>
                <c:formatCode>General</c:formatCode>
                <c:ptCount val="8"/>
                <c:pt idx="0">
                  <c:v>0.495</c:v>
                </c:pt>
                <c:pt idx="1">
                  <c:v>7.1029999999999998</c:v>
                </c:pt>
                <c:pt idx="2">
                  <c:v>23.773</c:v>
                </c:pt>
                <c:pt idx="3">
                  <c:v>100.866</c:v>
                </c:pt>
                <c:pt idx="4">
                  <c:v>260.10899999999998</c:v>
                </c:pt>
                <c:pt idx="5">
                  <c:v>744.60500000000002</c:v>
                </c:pt>
                <c:pt idx="6">
                  <c:v>1814.4380000000001</c:v>
                </c:pt>
                <c:pt idx="7">
                  <c:v>2836.77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05B-4D97-BEE0-EAB3A2AF25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8118000"/>
        <c:axId val="1328121328"/>
      </c:scatterChart>
      <c:valAx>
        <c:axId val="1328118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Tamaño</a:t>
                </a:r>
                <a:r>
                  <a:rPr lang="en-US" b="1" baseline="0"/>
                  <a:t> de la muestra [Num. elementos]</a:t>
                </a:r>
                <a:endParaRPr lang="en-US" b="1"/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21328"/>
        <c:crosses val="autoZero"/>
        <c:crossBetween val="midCat"/>
      </c:valAx>
      <c:valAx>
        <c:axId val="1328121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Tiempo de Ejecución [ms]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18000"/>
        <c:crosses val="autoZero"/>
        <c:crossBetween val="midCat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Comparación de tiempos de ejecucion para</a:t>
            </a:r>
            <a:r>
              <a:rPr lang="en-US" b="1" baseline="0"/>
              <a:t> Stack</a:t>
            </a:r>
            <a:endParaRPr lang="en-US" b="1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'01-Data Lab 4'!$H$2</c:f>
              <c:strCache>
                <c:ptCount val="1"/>
                <c:pt idx="0">
                  <c:v>top(Array List) 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</c:spPr>
            <c:trendlineType val="linear"/>
            <c:dispRSqr val="1"/>
            <c:dispEq val="1"/>
            <c:trendlineLbl>
              <c:layout>
                <c:manualLayout>
                  <c:x val="-0.1363811854896437"/>
                  <c:y val="-3.29452000318142E-3"/>
                </c:manualLayout>
              </c:layout>
              <c:numFmt formatCode="General" sourceLinked="0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'01-Data Lab 4'!$A$3:$A$10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 Lab 4'!$H$3:$H$10</c:f>
              <c:numCache>
                <c:formatCode>General</c:formatCode>
                <c:ptCount val="8"/>
                <c:pt idx="0">
                  <c:v>3.0000000000000001E-3</c:v>
                </c:pt>
                <c:pt idx="1">
                  <c:v>1E-3</c:v>
                </c:pt>
                <c:pt idx="2">
                  <c:v>1E-3</c:v>
                </c:pt>
                <c:pt idx="3">
                  <c:v>3.1E-2</c:v>
                </c:pt>
                <c:pt idx="4">
                  <c:v>1E-3</c:v>
                </c:pt>
                <c:pt idx="5">
                  <c:v>2E-3</c:v>
                </c:pt>
                <c:pt idx="6">
                  <c:v>3.0000000000000001E-3</c:v>
                </c:pt>
                <c:pt idx="7">
                  <c:v>2E-3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F55-440D-982B-E4D9D5EC1CB8}"/>
            </c:ext>
          </c:extLst>
        </c:ser>
        <c:ser>
          <c:idx val="1"/>
          <c:order val="1"/>
          <c:tx>
            <c:strRef>
              <c:f>'01-Data Lab 4'!$H$13</c:f>
              <c:strCache>
                <c:ptCount val="1"/>
                <c:pt idx="0">
                  <c:v>top(Linked List) 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</c:spPr>
            <c:trendlineType val="linear"/>
            <c:dispRSqr val="1"/>
            <c:dispEq val="1"/>
            <c:trendlineLbl>
              <c:layout>
                <c:manualLayout>
                  <c:x val="9.593553005287829E-2"/>
                  <c:y val="0.1237672790901137"/>
                </c:manualLayout>
              </c:layout>
              <c:numFmt formatCode="General" sourceLinked="0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'01-Data Lab 4'!$A$14:$A$21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 Lab 4'!$H$14:$H$21</c:f>
              <c:numCache>
                <c:formatCode>General</c:formatCode>
                <c:ptCount val="8"/>
                <c:pt idx="0">
                  <c:v>6.0000000000000001E-3</c:v>
                </c:pt>
                <c:pt idx="1">
                  <c:v>3.0000000000000001E-3</c:v>
                </c:pt>
                <c:pt idx="2">
                  <c:v>2E-3</c:v>
                </c:pt>
                <c:pt idx="3">
                  <c:v>3.0000000000000001E-3</c:v>
                </c:pt>
                <c:pt idx="4">
                  <c:v>3.0000000000000001E-3</c:v>
                </c:pt>
                <c:pt idx="5">
                  <c:v>5.0000000000000001E-3</c:v>
                </c:pt>
                <c:pt idx="6">
                  <c:v>4.0000000000000001E-3</c:v>
                </c:pt>
                <c:pt idx="7">
                  <c:v>5.0000000000000001E-3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F55-440D-982B-E4D9D5EC1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8118000"/>
        <c:axId val="1328121328"/>
      </c:scatterChart>
      <c:valAx>
        <c:axId val="1328118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Tamaño</a:t>
                </a:r>
                <a:r>
                  <a:rPr lang="en-US" b="1" baseline="0"/>
                  <a:t> de la muestra [Num. elementos]</a:t>
                </a:r>
                <a:endParaRPr lang="en-US" b="1"/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21328"/>
        <c:crosses val="autoZero"/>
        <c:crossBetween val="midCat"/>
      </c:valAx>
      <c:valAx>
        <c:axId val="1328121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Tiempo de Ejecución [ms]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18000"/>
        <c:crosses val="autoZero"/>
        <c:crossBetween val="midCat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100-000000000000}">
  <sheetPr>
    <tabColor theme="9" tint="0.59999389629810485"/>
  </sheetPr>
  <sheetViews>
    <sheetView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200-000000000000}">
  <sheetPr>
    <tabColor theme="9" tint="0.59999389629810485"/>
  </sheetPr>
  <sheetViews>
    <sheetView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300-000000000000}">
  <sheetPr>
    <tabColor theme="9" tint="0.59999389629810485"/>
  </sheetPr>
  <sheetViews>
    <sheetView workbookViewId="0" zoomToFit="1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400-000000000000}">
  <sheetPr>
    <tabColor rgb="FFF69E76"/>
  </sheetPr>
  <sheetViews>
    <sheetView tabSelected="1" zoomScale="67" workbookViewId="0" zoomToFit="1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500-000000000000}">
  <sheetPr>
    <tabColor rgb="FFF69E76"/>
  </sheetPr>
  <sheetViews>
    <sheetView workbookViewId="0" zoomToFit="1"/>
  </sheetViews>
  <pageMargins left="0.7" right="0.7" top="0.75" bottom="0.75" header="0.3" footer="0.3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600-000000000000}">
  <sheetPr>
    <tabColor rgb="FFF69E76"/>
  </sheetPr>
  <sheetViews>
    <sheetView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0" cy="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0" cy="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0" cy="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654955" cy="627797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0" cy="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0" cy="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2:H10" totalsRowShown="0" headerRowDxfId="19" dataDxfId="18">
  <autoFilter ref="A2:H10" xr:uid="{00000000-0009-0000-0100-000001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00000000-0010-0000-0000-000001000000}" name="Porcentaje de la muestra [pct]" dataDxfId="17"/>
    <tableColumn id="2" xr3:uid="{00000000-0010-0000-0000-000002000000}" name="Tamaño de la muestra (ARRAY_LIST)" dataDxfId="16">
      <calculatedColumnFormula>Table1[[#This Row],[Porcentaje de la muestra '[pct']]]*10000</calculatedColumnFormula>
    </tableColumn>
    <tableColumn id="3" xr3:uid="{00000000-0010-0000-0000-000003000000}" name="enqueue (Array List) " dataDxfId="15"/>
    <tableColumn id="4" xr3:uid="{00000000-0010-0000-0000-000004000000}" name="dequeue (Array List) " dataDxfId="14"/>
    <tableColumn id="5" xr3:uid="{00000000-0010-0000-0000-000005000000}" name="peek (Array List) " dataDxfId="13"/>
    <tableColumn id="8" xr3:uid="{00000000-0010-0000-0000-000008000000}" name="push (Array List)" dataDxfId="12"/>
    <tableColumn id="9" xr3:uid="{00000000-0010-0000-0000-000009000000}" name="pop (Array List)" dataDxfId="11"/>
    <tableColumn id="11" xr3:uid="{00000000-0010-0000-0000-00000B000000}" name="top(Array List) " dataDxfId="10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13" displayName="Table13" ref="A13:H21" totalsRowShown="0" headerRowDxfId="9" dataDxfId="8">
  <autoFilter ref="A13:H21" xr:uid="{00000000-0009-0000-0100-000002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00000000-0010-0000-0100-000001000000}" name="Porcentaje de la muestra [pct]" dataDxfId="7"/>
    <tableColumn id="2" xr3:uid="{00000000-0010-0000-0100-000002000000}" name="Tamaño de la muestra (LINKED_LIST)" dataDxfId="6">
      <calculatedColumnFormula>Table13[[#This Row],[Porcentaje de la muestra '[pct']]]*10000</calculatedColumnFormula>
    </tableColumn>
    <tableColumn id="3" xr3:uid="{00000000-0010-0000-0100-000003000000}" name="enqueue (Linked List) " dataDxfId="5"/>
    <tableColumn id="4" xr3:uid="{00000000-0010-0000-0100-000004000000}" name="dequeue (Linked List)  " dataDxfId="4"/>
    <tableColumn id="5" xr3:uid="{00000000-0010-0000-0100-000005000000}" name="peek (Linked List)  " dataDxfId="3"/>
    <tableColumn id="8" xr3:uid="{00000000-0010-0000-0100-000008000000}" name="push (Linked List) " dataDxfId="2"/>
    <tableColumn id="9" xr3:uid="{00000000-0010-0000-0100-000009000000}" name="pop (Linked List) " dataDxfId="1"/>
    <tableColumn id="11" xr3:uid="{00000000-0010-0000-0100-00000B000000}" name="top(Linked List) 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zoomScale="90" zoomScaleNormal="90" workbookViewId="0">
      <selection activeCell="J13" sqref="J13"/>
    </sheetView>
  </sheetViews>
  <sheetFormatPr defaultColWidth="8.88671875" defaultRowHeight="14.4"/>
  <cols>
    <col min="1" max="1" width="19.109375" style="1" bestFit="1" customWidth="1"/>
    <col min="2" max="2" width="25.5546875" style="1" bestFit="1" customWidth="1"/>
    <col min="3" max="4" width="24.44140625" style="1" customWidth="1"/>
    <col min="5" max="5" width="24.44140625" style="6" customWidth="1"/>
    <col min="6" max="12" width="24.44140625" customWidth="1"/>
  </cols>
  <sheetData>
    <row r="1" spans="1:8" ht="14.25" customHeight="1">
      <c r="C1" s="7" t="s">
        <v>0</v>
      </c>
      <c r="D1" s="8"/>
      <c r="E1" s="9"/>
      <c r="F1" s="10" t="s">
        <v>1</v>
      </c>
      <c r="G1" s="11"/>
      <c r="H1" s="11"/>
    </row>
    <row r="2" spans="1:8" s="5" customFormat="1" ht="30" customHeight="1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</row>
    <row r="3" spans="1:8" s="5" customFormat="1" ht="13.8">
      <c r="A3" s="2">
        <v>5.0000000000000001E-3</v>
      </c>
      <c r="B3" s="3">
        <f>Table1[[#This Row],[Porcentaje de la muestra '[pct']]]*10000</f>
        <v>50</v>
      </c>
      <c r="C3" s="4">
        <v>0.08</v>
      </c>
      <c r="D3" s="4">
        <v>9.5000000000000001E-2</v>
      </c>
      <c r="E3" s="4">
        <v>4.0000000000000001E-3</v>
      </c>
      <c r="F3" s="4">
        <v>3.5000000000000003E-2</v>
      </c>
      <c r="G3" s="4">
        <v>5.2999999999999999E-2</v>
      </c>
      <c r="H3" s="4">
        <v>3.0000000000000001E-3</v>
      </c>
    </row>
    <row r="4" spans="1:8" s="5" customFormat="1" ht="13.8">
      <c r="A4" s="2">
        <v>0.05</v>
      </c>
      <c r="B4" s="3">
        <f>Table1[[#This Row],[Porcentaje de la muestra '[pct']]]*10000</f>
        <v>500</v>
      </c>
      <c r="C4" s="4">
        <v>0.40799999999999997</v>
      </c>
      <c r="D4" s="4">
        <v>0.46400000000000002</v>
      </c>
      <c r="E4" s="4">
        <v>2E-3</v>
      </c>
      <c r="F4" s="4">
        <v>0.34699999999999998</v>
      </c>
      <c r="G4" s="4">
        <v>0.45200000000000001</v>
      </c>
      <c r="H4" s="4">
        <v>1E-3</v>
      </c>
    </row>
    <row r="5" spans="1:8">
      <c r="A5" s="2">
        <v>0.1</v>
      </c>
      <c r="B5" s="3">
        <f>Table1[[#This Row],[Porcentaje de la muestra '[pct']]]*10000</f>
        <v>1000</v>
      </c>
      <c r="C5" s="4">
        <v>0.66100000000000003</v>
      </c>
      <c r="D5" s="4">
        <v>1.095</v>
      </c>
      <c r="E5" s="4">
        <v>1E-3</v>
      </c>
      <c r="F5" s="4">
        <v>0.68300000000000005</v>
      </c>
      <c r="G5" s="4">
        <v>1.012</v>
      </c>
      <c r="H5" s="4">
        <v>1E-3</v>
      </c>
    </row>
    <row r="6" spans="1:8">
      <c r="A6" s="2">
        <v>0.2</v>
      </c>
      <c r="B6" s="3">
        <f>Table1[[#This Row],[Porcentaje de la muestra '[pct']]]*10000</f>
        <v>2000</v>
      </c>
      <c r="C6" s="4">
        <v>1.419</v>
      </c>
      <c r="D6" s="4">
        <v>2.883</v>
      </c>
      <c r="E6" s="4">
        <v>7.0000000000000001E-3</v>
      </c>
      <c r="F6" s="4">
        <v>2.4870000000000001</v>
      </c>
      <c r="G6" s="4">
        <v>1.9990000000000001</v>
      </c>
      <c r="H6" s="4">
        <v>3.1E-2</v>
      </c>
    </row>
    <row r="7" spans="1:8">
      <c r="A7" s="2">
        <v>0.3</v>
      </c>
      <c r="B7" s="3">
        <f>Table1[[#This Row],[Porcentaje de la muestra '[pct']]]*10000</f>
        <v>3000</v>
      </c>
      <c r="C7" s="4">
        <v>1.968</v>
      </c>
      <c r="D7" s="4">
        <v>3.6080000000000001</v>
      </c>
      <c r="E7" s="4">
        <v>2E-3</v>
      </c>
      <c r="F7" s="4">
        <v>1.9359999999999999</v>
      </c>
      <c r="G7" s="4">
        <v>2.5009999999999999</v>
      </c>
      <c r="H7" s="4">
        <v>1E-3</v>
      </c>
    </row>
    <row r="8" spans="1:8">
      <c r="A8" s="2">
        <v>0.5</v>
      </c>
      <c r="B8" s="3">
        <f>Table1[[#This Row],[Porcentaje de la muestra '[pct']]]*10000</f>
        <v>5000</v>
      </c>
      <c r="C8" s="4">
        <v>4.4089999999999998</v>
      </c>
      <c r="D8" s="4">
        <v>7.4109999999999996</v>
      </c>
      <c r="E8" s="4">
        <v>2E-3</v>
      </c>
      <c r="F8" s="4">
        <v>4.6150000000000002</v>
      </c>
      <c r="G8" s="4">
        <v>4.3109999999999999</v>
      </c>
      <c r="H8" s="4">
        <v>2E-3</v>
      </c>
    </row>
    <row r="9" spans="1:8">
      <c r="A9" s="2">
        <v>0.8</v>
      </c>
      <c r="B9" s="3">
        <f>Table1[[#This Row],[Porcentaje de la muestra '[pct']]]*10000</f>
        <v>8000</v>
      </c>
      <c r="C9" s="4">
        <v>5.5030000000000001</v>
      </c>
      <c r="D9" s="4">
        <v>18.440000000000001</v>
      </c>
      <c r="E9" s="4">
        <v>2E-3</v>
      </c>
      <c r="F9" s="4">
        <v>7.5010000000000003</v>
      </c>
      <c r="G9" s="4">
        <v>6.7709999999999999</v>
      </c>
      <c r="H9" s="4">
        <v>3.0000000000000001E-3</v>
      </c>
    </row>
    <row r="10" spans="1:8">
      <c r="A10" s="2">
        <v>1</v>
      </c>
      <c r="B10" s="3">
        <f>Table1[[#This Row],[Porcentaje de la muestra '[pct']]]*10000</f>
        <v>10000</v>
      </c>
      <c r="C10" s="4">
        <v>7.6070000000000002</v>
      </c>
      <c r="D10" s="4">
        <v>24.346</v>
      </c>
      <c r="E10" s="4">
        <v>3.0000000000000001E-3</v>
      </c>
      <c r="F10" s="4">
        <v>7.4379999999999997</v>
      </c>
      <c r="G10" s="4">
        <v>9.875</v>
      </c>
      <c r="H10" s="4">
        <v>2E-3</v>
      </c>
    </row>
    <row r="12" spans="1:8" ht="14.25" customHeight="1">
      <c r="C12" s="7" t="s">
        <v>0</v>
      </c>
      <c r="D12" s="8"/>
      <c r="E12" s="9"/>
      <c r="F12" s="10" t="s">
        <v>1</v>
      </c>
      <c r="G12" s="11"/>
      <c r="H12" s="11"/>
    </row>
    <row r="13" spans="1:8" s="5" customFormat="1" ht="30" customHeight="1">
      <c r="A13" s="4" t="s">
        <v>2</v>
      </c>
      <c r="B13" s="4" t="s">
        <v>10</v>
      </c>
      <c r="C13" s="4" t="s">
        <v>11</v>
      </c>
      <c r="D13" s="4" t="s">
        <v>12</v>
      </c>
      <c r="E13" s="4" t="s">
        <v>13</v>
      </c>
      <c r="F13" s="4" t="s">
        <v>14</v>
      </c>
      <c r="G13" s="4" t="s">
        <v>15</v>
      </c>
      <c r="H13" s="4" t="s">
        <v>16</v>
      </c>
    </row>
    <row r="14" spans="1:8" s="5" customFormat="1" ht="13.8">
      <c r="A14" s="2">
        <v>5.0000000000000001E-3</v>
      </c>
      <c r="B14" s="3">
        <f>Table13[[#This Row],[Porcentaje de la muestra '[pct']]]*10000</f>
        <v>50</v>
      </c>
      <c r="C14" s="4">
        <v>0.24399999999999999</v>
      </c>
      <c r="D14" s="4">
        <v>0.13</v>
      </c>
      <c r="E14" s="4">
        <v>1.9E-2</v>
      </c>
      <c r="F14" s="4">
        <v>7.0000000000000007E-2</v>
      </c>
      <c r="G14" s="4">
        <v>0.495</v>
      </c>
      <c r="H14" s="4">
        <v>6.0000000000000001E-3</v>
      </c>
    </row>
    <row r="15" spans="1:8" s="5" customFormat="1" ht="13.8">
      <c r="A15" s="2">
        <v>0.05</v>
      </c>
      <c r="B15" s="3">
        <f>Table13[[#This Row],[Porcentaje de la muestra '[pct']]]*10000</f>
        <v>500</v>
      </c>
      <c r="C15" s="4">
        <v>0.91800000000000004</v>
      </c>
      <c r="D15" s="4">
        <v>1.234</v>
      </c>
      <c r="E15" s="4">
        <v>2E-3</v>
      </c>
      <c r="F15" s="4">
        <v>0.68899999999999995</v>
      </c>
      <c r="G15" s="4">
        <v>7.1029999999999998</v>
      </c>
      <c r="H15" s="4">
        <v>3.0000000000000001E-3</v>
      </c>
    </row>
    <row r="16" spans="1:8">
      <c r="A16" s="2">
        <v>0.1</v>
      </c>
      <c r="B16" s="3">
        <f>Table13[[#This Row],[Porcentaje de la muestra '[pct']]]*10000</f>
        <v>1000</v>
      </c>
      <c r="C16" s="4">
        <v>1.1990000000000001</v>
      </c>
      <c r="D16" s="4">
        <v>1.048</v>
      </c>
      <c r="E16" s="4">
        <v>2E-3</v>
      </c>
      <c r="F16" s="4">
        <v>0.86599999999999999</v>
      </c>
      <c r="G16" s="4">
        <v>23.773</v>
      </c>
      <c r="H16" s="4">
        <v>2E-3</v>
      </c>
    </row>
    <row r="17" spans="1:8">
      <c r="A17" s="2">
        <v>0.2</v>
      </c>
      <c r="B17" s="3">
        <f>Table13[[#This Row],[Porcentaje de la muestra '[pct']]]*10000</f>
        <v>2000</v>
      </c>
      <c r="C17" s="4">
        <v>3.3759999999999999</v>
      </c>
      <c r="D17" s="4">
        <v>2.21</v>
      </c>
      <c r="E17" s="4">
        <v>2E-3</v>
      </c>
      <c r="F17" s="4">
        <v>2.7829999999999999</v>
      </c>
      <c r="G17" s="4">
        <v>100.866</v>
      </c>
      <c r="H17" s="4">
        <v>3.0000000000000001E-3</v>
      </c>
    </row>
    <row r="18" spans="1:8">
      <c r="A18" s="2">
        <v>0.3</v>
      </c>
      <c r="B18" s="3">
        <f>Table13[[#This Row],[Porcentaje de la muestra '[pct']]]*10000</f>
        <v>3000</v>
      </c>
      <c r="C18" s="4">
        <v>3.536</v>
      </c>
      <c r="D18" s="4">
        <v>4.2489999999999997</v>
      </c>
      <c r="E18" s="4">
        <v>8.9999999999999993E-3</v>
      </c>
      <c r="F18" s="4">
        <v>2.956</v>
      </c>
      <c r="G18" s="4">
        <v>260.10899999999998</v>
      </c>
      <c r="H18" s="4">
        <v>3.0000000000000001E-3</v>
      </c>
    </row>
    <row r="19" spans="1:8">
      <c r="A19" s="2">
        <v>0.5</v>
      </c>
      <c r="B19" s="3">
        <f>Table13[[#This Row],[Porcentaje de la muestra '[pct']]]*10000</f>
        <v>5000</v>
      </c>
      <c r="C19" s="4">
        <v>6.5140000000000002</v>
      </c>
      <c r="D19" s="4">
        <v>7.585</v>
      </c>
      <c r="E19" s="4">
        <v>3.0000000000000001E-3</v>
      </c>
      <c r="F19" s="4">
        <v>6.3860000000000001</v>
      </c>
      <c r="G19" s="4">
        <v>744.60500000000002</v>
      </c>
      <c r="H19" s="4">
        <v>5.0000000000000001E-3</v>
      </c>
    </row>
    <row r="20" spans="1:8">
      <c r="A20" s="2">
        <v>0.8</v>
      </c>
      <c r="B20" s="3">
        <f>Table13[[#This Row],[Porcentaje de la muestra '[pct']]]*10000</f>
        <v>8000</v>
      </c>
      <c r="C20" s="4">
        <v>11.359</v>
      </c>
      <c r="D20" s="4">
        <v>9.3810000000000002</v>
      </c>
      <c r="E20" s="4">
        <v>3.0000000000000001E-3</v>
      </c>
      <c r="F20" s="4">
        <v>9.516</v>
      </c>
      <c r="G20" s="4">
        <v>1814.4380000000001</v>
      </c>
      <c r="H20" s="4">
        <v>4.0000000000000001E-3</v>
      </c>
    </row>
    <row r="21" spans="1:8">
      <c r="A21" s="2">
        <v>1</v>
      </c>
      <c r="B21" s="3">
        <f>Table13[[#This Row],[Porcentaje de la muestra '[pct']]]*10000</f>
        <v>10000</v>
      </c>
      <c r="C21" s="4">
        <v>19.835999999999999</v>
      </c>
      <c r="D21" s="4">
        <v>13.144</v>
      </c>
      <c r="E21" s="4">
        <v>3.0000000000000001E-3</v>
      </c>
      <c r="F21" s="4">
        <v>28.19</v>
      </c>
      <c r="G21" s="4">
        <v>2836.77</v>
      </c>
      <c r="H21" s="4">
        <v>5.0000000000000001E-3</v>
      </c>
    </row>
  </sheetData>
  <mergeCells count="4">
    <mergeCell ref="C1:E1"/>
    <mergeCell ref="C12:E12"/>
    <mergeCell ref="F1:H1"/>
    <mergeCell ref="F12:H12"/>
  </mergeCells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6</vt:i4>
      </vt:variant>
    </vt:vector>
  </HeadingPairs>
  <TitlesOfParts>
    <vt:vector size="7" baseType="lpstr">
      <vt:lpstr>01-Data Lab 4</vt:lpstr>
      <vt:lpstr>02-Enqueue</vt:lpstr>
      <vt:lpstr>03-Dequeue</vt:lpstr>
      <vt:lpstr>04-Peek</vt:lpstr>
      <vt:lpstr>05-Push</vt:lpstr>
      <vt:lpstr>06-Pop</vt:lpstr>
      <vt:lpstr>07-Top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Felipe Arteaga Martin</dc:creator>
  <cp:lastModifiedBy>Mora Rincón, Kelly Jhoana</cp:lastModifiedBy>
  <dcterms:created xsi:type="dcterms:W3CDTF">2021-02-18T03:17:26Z</dcterms:created>
  <dcterms:modified xsi:type="dcterms:W3CDTF">2026-09-07T01:01:20Z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0x01010023858CF01A2EF24688B692775F4C60A4</vt:lpwstr>
  </property>
  <property fmtid="{D5CDD505-2E9C-101B-9397-08002B2CF9AE}" pid="3" name="MediaServiceImageTags">
    <vt:lpwstr/>
  </property>
</Properties>
</file>